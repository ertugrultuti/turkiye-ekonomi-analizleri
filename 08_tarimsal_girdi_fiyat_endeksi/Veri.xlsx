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rtugrultuti/Desktop/Analiz/05.2026/17. Tarımsal Girdi Fiyat Endeksi (Aylık) (2020=100)/"/>
    </mc:Choice>
  </mc:AlternateContent>
  <xr:revisionPtr revIDLastSave="0" documentId="13_ncr:1_{2541BDDC-C006-904B-BF0A-C727D83D51E6}" xr6:coauthVersionLast="47" xr6:coauthVersionMax="47" xr10:uidLastSave="{00000000-0000-0000-0000-000000000000}"/>
  <bookViews>
    <workbookView xWindow="0" yWindow="600" windowWidth="28800" windowHeight="17400" xr2:uid="{00000000-000D-0000-FFFF-FFFF00000000}"/>
  </bookViews>
  <sheets>
    <sheet name="Veri" sheetId="4" r:id="rId1"/>
    <sheet name="Endeks" sheetId="1" r:id="rId2"/>
    <sheet name="Log" sheetId="2" r:id="rId3"/>
    <sheet name="Desc. Stat.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0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7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4" i="2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0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7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5" i="1"/>
  <c r="G6" i="1"/>
  <c r="G7" i="1"/>
  <c r="G8" i="1"/>
  <c r="G9" i="1"/>
  <c r="G10" i="1"/>
  <c r="G11" i="1"/>
  <c r="G12" i="1"/>
  <c r="G13" i="1"/>
  <c r="G4" i="1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4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3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2" i="2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4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3" i="1"/>
</calcChain>
</file>

<file path=xl/sharedStrings.xml><?xml version="1.0" encoding="utf-8"?>
<sst xmlns="http://schemas.openxmlformats.org/spreadsheetml/2006/main" count="22" uniqueCount="11">
  <si>
    <t>Tarih</t>
  </si>
  <si>
    <t>Tarımsal Girdi Fiyat Endeksi</t>
  </si>
  <si>
    <t>Aylık % Değişim</t>
  </si>
  <si>
    <t>Aylık Mutlak Değişim</t>
  </si>
  <si>
    <t>Yıllık % Değişim</t>
  </si>
  <si>
    <t>Yıllık Mutlak Değişim</t>
  </si>
  <si>
    <t>Tarımsal Girdi Fiyat Logu</t>
  </si>
  <si>
    <t>3 Aylık Hareketli Ortalama</t>
  </si>
  <si>
    <t>6 Aylık Hareketli Ortalama</t>
  </si>
  <si>
    <t>9 Aylık Hareketli Ortalama</t>
  </si>
  <si>
    <t>12 Aylık Hareketli Ortalama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</si>
</sst>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indexed="8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Endeks!$B$1</c:f>
              <c:strCache>
                <c:ptCount val="1"/>
                <c:pt idx="0">
                  <c:v>Tarımsal Girdi Fiyat Endeksi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Endeks!$A$2:$A$142</c:f>
              <c:numCache>
                <c:formatCode>m/d/yy</c:formatCode>
                <c:ptCount val="141"/>
                <c:pt idx="0">
                  <c:v>42005</c:v>
                </c:pt>
                <c:pt idx="1">
                  <c:v>42036</c:v>
                </c:pt>
                <c:pt idx="2">
                  <c:v>42064</c:v>
                </c:pt>
                <c:pt idx="3">
                  <c:v>42095</c:v>
                </c:pt>
                <c:pt idx="4">
                  <c:v>42125</c:v>
                </c:pt>
                <c:pt idx="5">
                  <c:v>42156</c:v>
                </c:pt>
                <c:pt idx="6">
                  <c:v>42186</c:v>
                </c:pt>
                <c:pt idx="7">
                  <c:v>42217</c:v>
                </c:pt>
                <c:pt idx="8">
                  <c:v>42248</c:v>
                </c:pt>
                <c:pt idx="9">
                  <c:v>42278</c:v>
                </c:pt>
                <c:pt idx="10">
                  <c:v>42309</c:v>
                </c:pt>
                <c:pt idx="11">
                  <c:v>42339</c:v>
                </c:pt>
                <c:pt idx="12">
                  <c:v>42370</c:v>
                </c:pt>
                <c:pt idx="13">
                  <c:v>42401</c:v>
                </c:pt>
                <c:pt idx="14">
                  <c:v>42430</c:v>
                </c:pt>
                <c:pt idx="15">
                  <c:v>42461</c:v>
                </c:pt>
                <c:pt idx="16">
                  <c:v>42491</c:v>
                </c:pt>
                <c:pt idx="17">
                  <c:v>42522</c:v>
                </c:pt>
                <c:pt idx="18">
                  <c:v>42552</c:v>
                </c:pt>
                <c:pt idx="19">
                  <c:v>42583</c:v>
                </c:pt>
                <c:pt idx="20">
                  <c:v>42614</c:v>
                </c:pt>
                <c:pt idx="21">
                  <c:v>42644</c:v>
                </c:pt>
                <c:pt idx="22">
                  <c:v>42675</c:v>
                </c:pt>
                <c:pt idx="23">
                  <c:v>42705</c:v>
                </c:pt>
                <c:pt idx="24">
                  <c:v>42736</c:v>
                </c:pt>
                <c:pt idx="25">
                  <c:v>42767</c:v>
                </c:pt>
                <c:pt idx="26">
                  <c:v>42795</c:v>
                </c:pt>
                <c:pt idx="27">
                  <c:v>42826</c:v>
                </c:pt>
                <c:pt idx="28">
                  <c:v>42856</c:v>
                </c:pt>
                <c:pt idx="29">
                  <c:v>42887</c:v>
                </c:pt>
                <c:pt idx="30">
                  <c:v>42917</c:v>
                </c:pt>
                <c:pt idx="31">
                  <c:v>42948</c:v>
                </c:pt>
                <c:pt idx="32">
                  <c:v>42979</c:v>
                </c:pt>
                <c:pt idx="33">
                  <c:v>43009</c:v>
                </c:pt>
                <c:pt idx="34">
                  <c:v>43040</c:v>
                </c:pt>
                <c:pt idx="35">
                  <c:v>43070</c:v>
                </c:pt>
                <c:pt idx="36">
                  <c:v>43101</c:v>
                </c:pt>
                <c:pt idx="37">
                  <c:v>43132</c:v>
                </c:pt>
                <c:pt idx="38">
                  <c:v>43160</c:v>
                </c:pt>
                <c:pt idx="39">
                  <c:v>43191</c:v>
                </c:pt>
                <c:pt idx="40">
                  <c:v>43221</c:v>
                </c:pt>
                <c:pt idx="41">
                  <c:v>43252</c:v>
                </c:pt>
                <c:pt idx="42">
                  <c:v>43282</c:v>
                </c:pt>
                <c:pt idx="43">
                  <c:v>43313</c:v>
                </c:pt>
                <c:pt idx="44">
                  <c:v>43344</c:v>
                </c:pt>
                <c:pt idx="45">
                  <c:v>43374</c:v>
                </c:pt>
                <c:pt idx="46">
                  <c:v>43405</c:v>
                </c:pt>
                <c:pt idx="47">
                  <c:v>43435</c:v>
                </c:pt>
                <c:pt idx="48">
                  <c:v>43466</c:v>
                </c:pt>
                <c:pt idx="49">
                  <c:v>43497</c:v>
                </c:pt>
                <c:pt idx="50">
                  <c:v>43525</c:v>
                </c:pt>
                <c:pt idx="51">
                  <c:v>43556</c:v>
                </c:pt>
                <c:pt idx="52">
                  <c:v>43586</c:v>
                </c:pt>
                <c:pt idx="53">
                  <c:v>43617</c:v>
                </c:pt>
                <c:pt idx="54">
                  <c:v>43647</c:v>
                </c:pt>
                <c:pt idx="55">
                  <c:v>43678</c:v>
                </c:pt>
                <c:pt idx="56">
                  <c:v>43709</c:v>
                </c:pt>
                <c:pt idx="57">
                  <c:v>43739</c:v>
                </c:pt>
                <c:pt idx="58">
                  <c:v>43770</c:v>
                </c:pt>
                <c:pt idx="59">
                  <c:v>43800</c:v>
                </c:pt>
                <c:pt idx="60">
                  <c:v>43831</c:v>
                </c:pt>
                <c:pt idx="61">
                  <c:v>43862</c:v>
                </c:pt>
                <c:pt idx="62">
                  <c:v>43891</c:v>
                </c:pt>
                <c:pt idx="63">
                  <c:v>43922</c:v>
                </c:pt>
                <c:pt idx="64">
                  <c:v>43952</c:v>
                </c:pt>
                <c:pt idx="65">
                  <c:v>43983</c:v>
                </c:pt>
                <c:pt idx="66">
                  <c:v>44013</c:v>
                </c:pt>
                <c:pt idx="67">
                  <c:v>44044</c:v>
                </c:pt>
                <c:pt idx="68">
                  <c:v>44075</c:v>
                </c:pt>
                <c:pt idx="69">
                  <c:v>44105</c:v>
                </c:pt>
                <c:pt idx="70">
                  <c:v>44136</c:v>
                </c:pt>
                <c:pt idx="71">
                  <c:v>44166</c:v>
                </c:pt>
                <c:pt idx="72">
                  <c:v>44197</c:v>
                </c:pt>
                <c:pt idx="73">
                  <c:v>44228</c:v>
                </c:pt>
                <c:pt idx="74">
                  <c:v>44256</c:v>
                </c:pt>
                <c:pt idx="75">
                  <c:v>44287</c:v>
                </c:pt>
                <c:pt idx="76">
                  <c:v>44317</c:v>
                </c:pt>
                <c:pt idx="77">
                  <c:v>44348</c:v>
                </c:pt>
                <c:pt idx="78">
                  <c:v>44378</c:v>
                </c:pt>
                <c:pt idx="79">
                  <c:v>44409</c:v>
                </c:pt>
                <c:pt idx="80">
                  <c:v>44440</c:v>
                </c:pt>
                <c:pt idx="81">
                  <c:v>44470</c:v>
                </c:pt>
                <c:pt idx="82">
                  <c:v>44501</c:v>
                </c:pt>
                <c:pt idx="83">
                  <c:v>44531</c:v>
                </c:pt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</c:numCache>
            </c:numRef>
          </c:cat>
          <c:val>
            <c:numRef>
              <c:f>Endeks!$B$2:$B$142</c:f>
              <c:numCache>
                <c:formatCode>#,##0.00</c:formatCode>
                <c:ptCount val="141"/>
                <c:pt idx="0">
                  <c:v>56.86</c:v>
                </c:pt>
                <c:pt idx="1">
                  <c:v>57.24</c:v>
                </c:pt>
                <c:pt idx="2">
                  <c:v>57.42</c:v>
                </c:pt>
                <c:pt idx="3">
                  <c:v>57.54</c:v>
                </c:pt>
                <c:pt idx="4">
                  <c:v>57.93</c:v>
                </c:pt>
                <c:pt idx="5">
                  <c:v>57.98</c:v>
                </c:pt>
                <c:pt idx="6">
                  <c:v>57.69</c:v>
                </c:pt>
                <c:pt idx="7">
                  <c:v>57.92</c:v>
                </c:pt>
                <c:pt idx="8">
                  <c:v>58.31</c:v>
                </c:pt>
                <c:pt idx="9">
                  <c:v>58.22</c:v>
                </c:pt>
                <c:pt idx="10">
                  <c:v>58.32</c:v>
                </c:pt>
                <c:pt idx="11">
                  <c:v>58.2</c:v>
                </c:pt>
                <c:pt idx="12">
                  <c:v>58.96</c:v>
                </c:pt>
                <c:pt idx="13">
                  <c:v>58.79</c:v>
                </c:pt>
                <c:pt idx="14">
                  <c:v>59.01</c:v>
                </c:pt>
                <c:pt idx="15">
                  <c:v>59.03</c:v>
                </c:pt>
                <c:pt idx="16">
                  <c:v>59.42</c:v>
                </c:pt>
                <c:pt idx="17">
                  <c:v>59.61</c:v>
                </c:pt>
                <c:pt idx="18">
                  <c:v>59.83</c:v>
                </c:pt>
                <c:pt idx="19">
                  <c:v>59.77</c:v>
                </c:pt>
                <c:pt idx="20">
                  <c:v>60.1</c:v>
                </c:pt>
                <c:pt idx="21">
                  <c:v>60.69</c:v>
                </c:pt>
                <c:pt idx="22">
                  <c:v>61.02</c:v>
                </c:pt>
                <c:pt idx="23">
                  <c:v>61.94</c:v>
                </c:pt>
                <c:pt idx="24">
                  <c:v>63</c:v>
                </c:pt>
                <c:pt idx="25">
                  <c:v>63.51</c:v>
                </c:pt>
                <c:pt idx="26">
                  <c:v>63.84</c:v>
                </c:pt>
                <c:pt idx="27">
                  <c:v>64.33</c:v>
                </c:pt>
                <c:pt idx="28">
                  <c:v>64.27</c:v>
                </c:pt>
                <c:pt idx="29">
                  <c:v>64.16</c:v>
                </c:pt>
                <c:pt idx="30">
                  <c:v>64.97</c:v>
                </c:pt>
                <c:pt idx="31">
                  <c:v>65.41</c:v>
                </c:pt>
                <c:pt idx="32">
                  <c:v>65.97</c:v>
                </c:pt>
                <c:pt idx="33">
                  <c:v>67.16</c:v>
                </c:pt>
                <c:pt idx="34">
                  <c:v>68.650000000000006</c:v>
                </c:pt>
                <c:pt idx="35">
                  <c:v>69.42</c:v>
                </c:pt>
                <c:pt idx="36">
                  <c:v>71.78</c:v>
                </c:pt>
                <c:pt idx="37">
                  <c:v>72.5</c:v>
                </c:pt>
                <c:pt idx="38">
                  <c:v>73.38</c:v>
                </c:pt>
                <c:pt idx="39">
                  <c:v>74.94</c:v>
                </c:pt>
                <c:pt idx="40">
                  <c:v>75.819999999999993</c:v>
                </c:pt>
                <c:pt idx="41">
                  <c:v>76.66</c:v>
                </c:pt>
                <c:pt idx="42">
                  <c:v>77.75</c:v>
                </c:pt>
                <c:pt idx="43">
                  <c:v>80.709999999999994</c:v>
                </c:pt>
                <c:pt idx="44">
                  <c:v>83.49</c:v>
                </c:pt>
                <c:pt idx="45">
                  <c:v>85.76</c:v>
                </c:pt>
                <c:pt idx="46">
                  <c:v>85.83</c:v>
                </c:pt>
                <c:pt idx="47">
                  <c:v>85.29</c:v>
                </c:pt>
                <c:pt idx="48">
                  <c:v>87.16</c:v>
                </c:pt>
                <c:pt idx="49">
                  <c:v>87.59</c:v>
                </c:pt>
                <c:pt idx="50">
                  <c:v>88.76</c:v>
                </c:pt>
                <c:pt idx="51">
                  <c:v>89.51</c:v>
                </c:pt>
                <c:pt idx="52">
                  <c:v>90.88</c:v>
                </c:pt>
                <c:pt idx="53">
                  <c:v>90.91</c:v>
                </c:pt>
                <c:pt idx="54">
                  <c:v>91.49</c:v>
                </c:pt>
                <c:pt idx="55">
                  <c:v>91.62</c:v>
                </c:pt>
                <c:pt idx="56">
                  <c:v>91.61</c:v>
                </c:pt>
                <c:pt idx="57">
                  <c:v>92.44</c:v>
                </c:pt>
                <c:pt idx="58">
                  <c:v>93.18</c:v>
                </c:pt>
                <c:pt idx="59">
                  <c:v>93.95</c:v>
                </c:pt>
                <c:pt idx="60">
                  <c:v>94.95</c:v>
                </c:pt>
                <c:pt idx="61">
                  <c:v>95.35</c:v>
                </c:pt>
                <c:pt idx="62">
                  <c:v>95.71</c:v>
                </c:pt>
                <c:pt idx="63">
                  <c:v>96.82</c:v>
                </c:pt>
                <c:pt idx="64">
                  <c:v>97.1</c:v>
                </c:pt>
                <c:pt idx="65">
                  <c:v>97.01</c:v>
                </c:pt>
                <c:pt idx="66">
                  <c:v>97.73</c:v>
                </c:pt>
                <c:pt idx="67">
                  <c:v>99.48</c:v>
                </c:pt>
                <c:pt idx="68">
                  <c:v>101.51</c:v>
                </c:pt>
                <c:pt idx="69">
                  <c:v>104.9</c:v>
                </c:pt>
                <c:pt idx="70">
                  <c:v>108.43</c:v>
                </c:pt>
                <c:pt idx="71">
                  <c:v>111.02</c:v>
                </c:pt>
                <c:pt idx="72">
                  <c:v>113.97</c:v>
                </c:pt>
                <c:pt idx="73">
                  <c:v>115.91</c:v>
                </c:pt>
                <c:pt idx="74">
                  <c:v>117.63</c:v>
                </c:pt>
                <c:pt idx="75">
                  <c:v>120.26</c:v>
                </c:pt>
                <c:pt idx="76">
                  <c:v>123.64</c:v>
                </c:pt>
                <c:pt idx="77">
                  <c:v>128.66999999999999</c:v>
                </c:pt>
                <c:pt idx="78">
                  <c:v>132.57</c:v>
                </c:pt>
                <c:pt idx="79">
                  <c:v>134.18</c:v>
                </c:pt>
                <c:pt idx="80">
                  <c:v>136.94999999999999</c:v>
                </c:pt>
                <c:pt idx="81">
                  <c:v>144.86000000000001</c:v>
                </c:pt>
                <c:pt idx="82">
                  <c:v>159.56</c:v>
                </c:pt>
                <c:pt idx="83">
                  <c:v>182.51</c:v>
                </c:pt>
                <c:pt idx="84">
                  <c:v>206.69</c:v>
                </c:pt>
                <c:pt idx="85">
                  <c:v>225.41</c:v>
                </c:pt>
                <c:pt idx="86">
                  <c:v>254.12</c:v>
                </c:pt>
                <c:pt idx="87">
                  <c:v>272.79000000000002</c:v>
                </c:pt>
                <c:pt idx="88">
                  <c:v>286.87</c:v>
                </c:pt>
                <c:pt idx="89">
                  <c:v>309.77999999999997</c:v>
                </c:pt>
                <c:pt idx="90">
                  <c:v>315.73</c:v>
                </c:pt>
                <c:pt idx="91">
                  <c:v>323.02</c:v>
                </c:pt>
                <c:pt idx="92">
                  <c:v>335.3</c:v>
                </c:pt>
                <c:pt idx="93">
                  <c:v>344.56</c:v>
                </c:pt>
                <c:pt idx="94">
                  <c:v>349.59</c:v>
                </c:pt>
                <c:pt idx="95">
                  <c:v>348.83</c:v>
                </c:pt>
                <c:pt idx="96">
                  <c:v>358.79</c:v>
                </c:pt>
                <c:pt idx="97">
                  <c:v>359.74</c:v>
                </c:pt>
                <c:pt idx="98">
                  <c:v>363.92</c:v>
                </c:pt>
                <c:pt idx="99">
                  <c:v>364.67</c:v>
                </c:pt>
                <c:pt idx="100">
                  <c:v>365.64</c:v>
                </c:pt>
                <c:pt idx="101">
                  <c:v>382.85</c:v>
                </c:pt>
                <c:pt idx="102">
                  <c:v>412.62</c:v>
                </c:pt>
                <c:pt idx="103">
                  <c:v>444.57</c:v>
                </c:pt>
                <c:pt idx="104">
                  <c:v>457.3</c:v>
                </c:pt>
                <c:pt idx="105">
                  <c:v>467.2</c:v>
                </c:pt>
                <c:pt idx="106">
                  <c:v>472.6</c:v>
                </c:pt>
                <c:pt idx="107">
                  <c:v>484.26</c:v>
                </c:pt>
                <c:pt idx="108">
                  <c:v>520.65</c:v>
                </c:pt>
                <c:pt idx="109">
                  <c:v>539.34</c:v>
                </c:pt>
                <c:pt idx="110">
                  <c:v>545.62</c:v>
                </c:pt>
                <c:pt idx="111">
                  <c:v>555.01</c:v>
                </c:pt>
                <c:pt idx="112">
                  <c:v>559.73</c:v>
                </c:pt>
                <c:pt idx="113">
                  <c:v>564.92999999999995</c:v>
                </c:pt>
                <c:pt idx="114">
                  <c:v>584.25</c:v>
                </c:pt>
                <c:pt idx="115">
                  <c:v>592.39</c:v>
                </c:pt>
                <c:pt idx="116">
                  <c:v>602.88</c:v>
                </c:pt>
                <c:pt idx="117">
                  <c:v>619.47</c:v>
                </c:pt>
                <c:pt idx="118">
                  <c:v>628.19000000000005</c:v>
                </c:pt>
                <c:pt idx="119">
                  <c:v>641.58000000000004</c:v>
                </c:pt>
                <c:pt idx="120">
                  <c:v>679.38</c:v>
                </c:pt>
                <c:pt idx="121">
                  <c:v>695.32</c:v>
                </c:pt>
                <c:pt idx="122">
                  <c:v>707.81</c:v>
                </c:pt>
                <c:pt idx="123">
                  <c:v>722.19</c:v>
                </c:pt>
                <c:pt idx="124">
                  <c:v>737.73</c:v>
                </c:pt>
                <c:pt idx="125">
                  <c:v>756.31</c:v>
                </c:pt>
                <c:pt idx="126">
                  <c:v>784.16</c:v>
                </c:pt>
                <c:pt idx="127">
                  <c:v>794.33</c:v>
                </c:pt>
                <c:pt idx="128">
                  <c:v>811.45</c:v>
                </c:pt>
                <c:pt idx="129">
                  <c:v>828.01</c:v>
                </c:pt>
                <c:pt idx="130">
                  <c:v>843.26</c:v>
                </c:pt>
                <c:pt idx="131">
                  <c:v>854.25</c:v>
                </c:pt>
                <c:pt idx="132">
                  <c:v>887.19</c:v>
                </c:pt>
                <c:pt idx="133">
                  <c:v>914.7</c:v>
                </c:pt>
                <c:pt idx="134">
                  <c:v>950.32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90-1F4D-8C21-2CCD6E8DA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8355775"/>
        <c:axId val="1488368319"/>
      </c:areaChart>
      <c:dateAx>
        <c:axId val="1488355775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488368319"/>
        <c:crosses val="autoZero"/>
        <c:auto val="1"/>
        <c:lblOffset val="100"/>
        <c:baseTimeUnit val="months"/>
      </c:dateAx>
      <c:valAx>
        <c:axId val="148836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4883557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Aylık Değişim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Endeks!$C$1:$C$2</c:f>
              <c:strCache>
                <c:ptCount val="2"/>
                <c:pt idx="0">
                  <c:v>Aylık Mutlak Değişim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Endeks!$A$3:$A$142</c:f>
              <c:numCache>
                <c:formatCode>m/d/yy</c:formatCode>
                <c:ptCount val="140"/>
                <c:pt idx="0">
                  <c:v>42036</c:v>
                </c:pt>
                <c:pt idx="1">
                  <c:v>42064</c:v>
                </c:pt>
                <c:pt idx="2">
                  <c:v>42095</c:v>
                </c:pt>
                <c:pt idx="3">
                  <c:v>42125</c:v>
                </c:pt>
                <c:pt idx="4">
                  <c:v>42156</c:v>
                </c:pt>
                <c:pt idx="5">
                  <c:v>42186</c:v>
                </c:pt>
                <c:pt idx="6">
                  <c:v>42217</c:v>
                </c:pt>
                <c:pt idx="7">
                  <c:v>42248</c:v>
                </c:pt>
                <c:pt idx="8">
                  <c:v>42278</c:v>
                </c:pt>
                <c:pt idx="9">
                  <c:v>42309</c:v>
                </c:pt>
                <c:pt idx="10">
                  <c:v>42339</c:v>
                </c:pt>
                <c:pt idx="11">
                  <c:v>42370</c:v>
                </c:pt>
                <c:pt idx="12">
                  <c:v>42401</c:v>
                </c:pt>
                <c:pt idx="13">
                  <c:v>42430</c:v>
                </c:pt>
                <c:pt idx="14">
                  <c:v>42461</c:v>
                </c:pt>
                <c:pt idx="15">
                  <c:v>42491</c:v>
                </c:pt>
                <c:pt idx="16">
                  <c:v>42522</c:v>
                </c:pt>
                <c:pt idx="17">
                  <c:v>42552</c:v>
                </c:pt>
                <c:pt idx="18">
                  <c:v>42583</c:v>
                </c:pt>
                <c:pt idx="19">
                  <c:v>42614</c:v>
                </c:pt>
                <c:pt idx="20">
                  <c:v>42644</c:v>
                </c:pt>
                <c:pt idx="21">
                  <c:v>42675</c:v>
                </c:pt>
                <c:pt idx="22">
                  <c:v>42705</c:v>
                </c:pt>
                <c:pt idx="23">
                  <c:v>42736</c:v>
                </c:pt>
                <c:pt idx="24">
                  <c:v>42767</c:v>
                </c:pt>
                <c:pt idx="25">
                  <c:v>42795</c:v>
                </c:pt>
                <c:pt idx="26">
                  <c:v>42826</c:v>
                </c:pt>
                <c:pt idx="27">
                  <c:v>42856</c:v>
                </c:pt>
                <c:pt idx="28">
                  <c:v>42887</c:v>
                </c:pt>
                <c:pt idx="29">
                  <c:v>42917</c:v>
                </c:pt>
                <c:pt idx="30">
                  <c:v>42948</c:v>
                </c:pt>
                <c:pt idx="31">
                  <c:v>42979</c:v>
                </c:pt>
                <c:pt idx="32">
                  <c:v>43009</c:v>
                </c:pt>
                <c:pt idx="33">
                  <c:v>43040</c:v>
                </c:pt>
                <c:pt idx="34">
                  <c:v>43070</c:v>
                </c:pt>
                <c:pt idx="35">
                  <c:v>43101</c:v>
                </c:pt>
                <c:pt idx="36">
                  <c:v>43132</c:v>
                </c:pt>
                <c:pt idx="37">
                  <c:v>43160</c:v>
                </c:pt>
                <c:pt idx="38">
                  <c:v>43191</c:v>
                </c:pt>
                <c:pt idx="39">
                  <c:v>43221</c:v>
                </c:pt>
                <c:pt idx="40">
                  <c:v>43252</c:v>
                </c:pt>
                <c:pt idx="41">
                  <c:v>43282</c:v>
                </c:pt>
                <c:pt idx="42">
                  <c:v>43313</c:v>
                </c:pt>
                <c:pt idx="43">
                  <c:v>43344</c:v>
                </c:pt>
                <c:pt idx="44">
                  <c:v>43374</c:v>
                </c:pt>
                <c:pt idx="45">
                  <c:v>43405</c:v>
                </c:pt>
                <c:pt idx="46">
                  <c:v>43435</c:v>
                </c:pt>
                <c:pt idx="47">
                  <c:v>43466</c:v>
                </c:pt>
                <c:pt idx="48">
                  <c:v>43497</c:v>
                </c:pt>
                <c:pt idx="49">
                  <c:v>43525</c:v>
                </c:pt>
                <c:pt idx="50">
                  <c:v>43556</c:v>
                </c:pt>
                <c:pt idx="51">
                  <c:v>43586</c:v>
                </c:pt>
                <c:pt idx="52">
                  <c:v>43617</c:v>
                </c:pt>
                <c:pt idx="53">
                  <c:v>43647</c:v>
                </c:pt>
                <c:pt idx="54">
                  <c:v>43678</c:v>
                </c:pt>
                <c:pt idx="55">
                  <c:v>43709</c:v>
                </c:pt>
                <c:pt idx="56">
                  <c:v>43739</c:v>
                </c:pt>
                <c:pt idx="57">
                  <c:v>43770</c:v>
                </c:pt>
                <c:pt idx="58">
                  <c:v>43800</c:v>
                </c:pt>
                <c:pt idx="59">
                  <c:v>43831</c:v>
                </c:pt>
                <c:pt idx="60">
                  <c:v>43862</c:v>
                </c:pt>
                <c:pt idx="61">
                  <c:v>43891</c:v>
                </c:pt>
                <c:pt idx="62">
                  <c:v>43922</c:v>
                </c:pt>
                <c:pt idx="63">
                  <c:v>43952</c:v>
                </c:pt>
                <c:pt idx="64">
                  <c:v>43983</c:v>
                </c:pt>
                <c:pt idx="65">
                  <c:v>44013</c:v>
                </c:pt>
                <c:pt idx="66">
                  <c:v>44044</c:v>
                </c:pt>
                <c:pt idx="67">
                  <c:v>44075</c:v>
                </c:pt>
                <c:pt idx="68">
                  <c:v>44105</c:v>
                </c:pt>
                <c:pt idx="69">
                  <c:v>44136</c:v>
                </c:pt>
                <c:pt idx="70">
                  <c:v>44166</c:v>
                </c:pt>
                <c:pt idx="71">
                  <c:v>44197</c:v>
                </c:pt>
                <c:pt idx="72">
                  <c:v>44228</c:v>
                </c:pt>
                <c:pt idx="73">
                  <c:v>44256</c:v>
                </c:pt>
                <c:pt idx="74">
                  <c:v>44287</c:v>
                </c:pt>
                <c:pt idx="75">
                  <c:v>44317</c:v>
                </c:pt>
                <c:pt idx="76">
                  <c:v>44348</c:v>
                </c:pt>
                <c:pt idx="77">
                  <c:v>44378</c:v>
                </c:pt>
                <c:pt idx="78">
                  <c:v>44409</c:v>
                </c:pt>
                <c:pt idx="79">
                  <c:v>44440</c:v>
                </c:pt>
                <c:pt idx="80">
                  <c:v>44470</c:v>
                </c:pt>
                <c:pt idx="81">
                  <c:v>44501</c:v>
                </c:pt>
                <c:pt idx="82">
                  <c:v>44531</c:v>
                </c:pt>
                <c:pt idx="83">
                  <c:v>44562</c:v>
                </c:pt>
                <c:pt idx="84">
                  <c:v>44593</c:v>
                </c:pt>
                <c:pt idx="85">
                  <c:v>44621</c:v>
                </c:pt>
                <c:pt idx="86">
                  <c:v>44652</c:v>
                </c:pt>
                <c:pt idx="87">
                  <c:v>44682</c:v>
                </c:pt>
                <c:pt idx="88">
                  <c:v>44713</c:v>
                </c:pt>
                <c:pt idx="89">
                  <c:v>44743</c:v>
                </c:pt>
                <c:pt idx="90">
                  <c:v>44774</c:v>
                </c:pt>
                <c:pt idx="91">
                  <c:v>44805</c:v>
                </c:pt>
                <c:pt idx="92">
                  <c:v>44835</c:v>
                </c:pt>
                <c:pt idx="93">
                  <c:v>44866</c:v>
                </c:pt>
                <c:pt idx="94">
                  <c:v>44896</c:v>
                </c:pt>
                <c:pt idx="95">
                  <c:v>44927</c:v>
                </c:pt>
                <c:pt idx="96">
                  <c:v>44958</c:v>
                </c:pt>
                <c:pt idx="97">
                  <c:v>44986</c:v>
                </c:pt>
                <c:pt idx="98">
                  <c:v>45017</c:v>
                </c:pt>
                <c:pt idx="99">
                  <c:v>45047</c:v>
                </c:pt>
                <c:pt idx="100">
                  <c:v>45078</c:v>
                </c:pt>
                <c:pt idx="101">
                  <c:v>45108</c:v>
                </c:pt>
                <c:pt idx="102">
                  <c:v>45139</c:v>
                </c:pt>
                <c:pt idx="103">
                  <c:v>45170</c:v>
                </c:pt>
                <c:pt idx="104">
                  <c:v>45200</c:v>
                </c:pt>
                <c:pt idx="105">
                  <c:v>45231</c:v>
                </c:pt>
                <c:pt idx="106">
                  <c:v>45261</c:v>
                </c:pt>
                <c:pt idx="107">
                  <c:v>45292</c:v>
                </c:pt>
                <c:pt idx="108">
                  <c:v>45323</c:v>
                </c:pt>
                <c:pt idx="109">
                  <c:v>45352</c:v>
                </c:pt>
                <c:pt idx="110">
                  <c:v>45383</c:v>
                </c:pt>
                <c:pt idx="111">
                  <c:v>45413</c:v>
                </c:pt>
                <c:pt idx="112">
                  <c:v>45444</c:v>
                </c:pt>
                <c:pt idx="113">
                  <c:v>45474</c:v>
                </c:pt>
                <c:pt idx="114">
                  <c:v>45505</c:v>
                </c:pt>
                <c:pt idx="115">
                  <c:v>45536</c:v>
                </c:pt>
                <c:pt idx="116">
                  <c:v>45566</c:v>
                </c:pt>
                <c:pt idx="117">
                  <c:v>45597</c:v>
                </c:pt>
                <c:pt idx="118">
                  <c:v>45627</c:v>
                </c:pt>
                <c:pt idx="119">
                  <c:v>45658</c:v>
                </c:pt>
                <c:pt idx="120">
                  <c:v>45689</c:v>
                </c:pt>
                <c:pt idx="121">
                  <c:v>45717</c:v>
                </c:pt>
                <c:pt idx="122">
                  <c:v>45748</c:v>
                </c:pt>
                <c:pt idx="123">
                  <c:v>45778</c:v>
                </c:pt>
                <c:pt idx="124">
                  <c:v>45809</c:v>
                </c:pt>
                <c:pt idx="125">
                  <c:v>45839</c:v>
                </c:pt>
                <c:pt idx="126">
                  <c:v>45870</c:v>
                </c:pt>
                <c:pt idx="127">
                  <c:v>45901</c:v>
                </c:pt>
                <c:pt idx="128">
                  <c:v>45931</c:v>
                </c:pt>
                <c:pt idx="129">
                  <c:v>45962</c:v>
                </c:pt>
                <c:pt idx="130">
                  <c:v>45992</c:v>
                </c:pt>
                <c:pt idx="131">
                  <c:v>46023</c:v>
                </c:pt>
                <c:pt idx="132">
                  <c:v>46054</c:v>
                </c:pt>
                <c:pt idx="133">
                  <c:v>46082</c:v>
                </c:pt>
              </c:numCache>
            </c:numRef>
          </c:cat>
          <c:val>
            <c:numRef>
              <c:f>Endeks!$C$3:$C$142</c:f>
              <c:numCache>
                <c:formatCode>#,##0.00</c:formatCode>
                <c:ptCount val="140"/>
                <c:pt idx="0">
                  <c:v>0.38000000000000256</c:v>
                </c:pt>
                <c:pt idx="1">
                  <c:v>0.17999999999999972</c:v>
                </c:pt>
                <c:pt idx="2">
                  <c:v>0.11999999999999744</c:v>
                </c:pt>
                <c:pt idx="3">
                  <c:v>0.39000000000000057</c:v>
                </c:pt>
                <c:pt idx="4">
                  <c:v>4.9999999999997158E-2</c:v>
                </c:pt>
                <c:pt idx="5">
                  <c:v>-0.28999999999999915</c:v>
                </c:pt>
                <c:pt idx="6">
                  <c:v>0.23000000000000398</c:v>
                </c:pt>
                <c:pt idx="7">
                  <c:v>0.39000000000000057</c:v>
                </c:pt>
                <c:pt idx="8">
                  <c:v>-9.0000000000003411E-2</c:v>
                </c:pt>
                <c:pt idx="9">
                  <c:v>0.10000000000000142</c:v>
                </c:pt>
                <c:pt idx="10">
                  <c:v>-0.11999999999999744</c:v>
                </c:pt>
                <c:pt idx="11">
                  <c:v>0.75999999999999801</c:v>
                </c:pt>
                <c:pt idx="12">
                  <c:v>-0.17000000000000171</c:v>
                </c:pt>
                <c:pt idx="13">
                  <c:v>0.21999999999999886</c:v>
                </c:pt>
                <c:pt idx="14">
                  <c:v>2.0000000000003126E-2</c:v>
                </c:pt>
                <c:pt idx="15">
                  <c:v>0.39000000000000057</c:v>
                </c:pt>
                <c:pt idx="16">
                  <c:v>0.18999999999999773</c:v>
                </c:pt>
                <c:pt idx="17">
                  <c:v>0.21999999999999886</c:v>
                </c:pt>
                <c:pt idx="18">
                  <c:v>-5.9999999999995168E-2</c:v>
                </c:pt>
                <c:pt idx="19">
                  <c:v>0.32999999999999829</c:v>
                </c:pt>
                <c:pt idx="20">
                  <c:v>0.58999999999999631</c:v>
                </c:pt>
                <c:pt idx="21">
                  <c:v>0.3300000000000054</c:v>
                </c:pt>
                <c:pt idx="22">
                  <c:v>0.9199999999999946</c:v>
                </c:pt>
                <c:pt idx="23">
                  <c:v>1.0600000000000023</c:v>
                </c:pt>
                <c:pt idx="24">
                  <c:v>0.50999999999999801</c:v>
                </c:pt>
                <c:pt idx="25">
                  <c:v>0.3300000000000054</c:v>
                </c:pt>
                <c:pt idx="26">
                  <c:v>0.48999999999999488</c:v>
                </c:pt>
                <c:pt idx="27">
                  <c:v>-6.0000000000002274E-2</c:v>
                </c:pt>
                <c:pt idx="28">
                  <c:v>-0.10999999999999943</c:v>
                </c:pt>
                <c:pt idx="29">
                  <c:v>0.81000000000000227</c:v>
                </c:pt>
                <c:pt idx="30">
                  <c:v>0.43999999999999773</c:v>
                </c:pt>
                <c:pt idx="31">
                  <c:v>0.56000000000000227</c:v>
                </c:pt>
                <c:pt idx="32">
                  <c:v>1.1899999999999977</c:v>
                </c:pt>
                <c:pt idx="33">
                  <c:v>1.4900000000000091</c:v>
                </c:pt>
                <c:pt idx="34">
                  <c:v>0.76999999999999602</c:v>
                </c:pt>
                <c:pt idx="35">
                  <c:v>2.3599999999999994</c:v>
                </c:pt>
                <c:pt idx="36">
                  <c:v>0.71999999999999886</c:v>
                </c:pt>
                <c:pt idx="37">
                  <c:v>0.87999999999999545</c:v>
                </c:pt>
                <c:pt idx="38">
                  <c:v>1.5600000000000023</c:v>
                </c:pt>
                <c:pt idx="39">
                  <c:v>0.87999999999999545</c:v>
                </c:pt>
                <c:pt idx="40">
                  <c:v>0.84000000000000341</c:v>
                </c:pt>
                <c:pt idx="41">
                  <c:v>1.0900000000000034</c:v>
                </c:pt>
                <c:pt idx="42">
                  <c:v>2.9599999999999937</c:v>
                </c:pt>
                <c:pt idx="43">
                  <c:v>2.7800000000000011</c:v>
                </c:pt>
                <c:pt idx="44">
                  <c:v>2.2700000000000102</c:v>
                </c:pt>
                <c:pt idx="45">
                  <c:v>6.9999999999993179E-2</c:v>
                </c:pt>
                <c:pt idx="46">
                  <c:v>-0.53999999999999204</c:v>
                </c:pt>
                <c:pt idx="47">
                  <c:v>1.8699999999999903</c:v>
                </c:pt>
                <c:pt idx="48">
                  <c:v>0.43000000000000682</c:v>
                </c:pt>
                <c:pt idx="49">
                  <c:v>1.1700000000000017</c:v>
                </c:pt>
                <c:pt idx="50">
                  <c:v>0.75</c:v>
                </c:pt>
                <c:pt idx="51">
                  <c:v>1.3699999999999903</c:v>
                </c:pt>
                <c:pt idx="52">
                  <c:v>3.0000000000001137E-2</c:v>
                </c:pt>
                <c:pt idx="53">
                  <c:v>0.57999999999999829</c:v>
                </c:pt>
                <c:pt idx="54">
                  <c:v>0.13000000000000966</c:v>
                </c:pt>
                <c:pt idx="55">
                  <c:v>-1.0000000000005116E-2</c:v>
                </c:pt>
                <c:pt idx="56">
                  <c:v>0.82999999999999829</c:v>
                </c:pt>
                <c:pt idx="57">
                  <c:v>0.74000000000000909</c:v>
                </c:pt>
                <c:pt idx="58">
                  <c:v>0.76999999999999602</c:v>
                </c:pt>
                <c:pt idx="59">
                  <c:v>1</c:v>
                </c:pt>
                <c:pt idx="60">
                  <c:v>0.39999999999999147</c:v>
                </c:pt>
                <c:pt idx="61">
                  <c:v>0.35999999999999943</c:v>
                </c:pt>
                <c:pt idx="62">
                  <c:v>1.1099999999999994</c:v>
                </c:pt>
                <c:pt idx="63">
                  <c:v>0.28000000000000114</c:v>
                </c:pt>
                <c:pt idx="64">
                  <c:v>-8.99999999999892E-2</c:v>
                </c:pt>
                <c:pt idx="65">
                  <c:v>0.71999999999999886</c:v>
                </c:pt>
                <c:pt idx="66">
                  <c:v>1.75</c:v>
                </c:pt>
                <c:pt idx="67">
                  <c:v>2.0300000000000011</c:v>
                </c:pt>
                <c:pt idx="68">
                  <c:v>3.3900000000000006</c:v>
                </c:pt>
                <c:pt idx="69">
                  <c:v>3.5300000000000011</c:v>
                </c:pt>
                <c:pt idx="70">
                  <c:v>2.5899999999999892</c:v>
                </c:pt>
                <c:pt idx="71">
                  <c:v>2.9500000000000028</c:v>
                </c:pt>
                <c:pt idx="72">
                  <c:v>1.9399999999999977</c:v>
                </c:pt>
                <c:pt idx="73">
                  <c:v>1.7199999999999989</c:v>
                </c:pt>
                <c:pt idx="74">
                  <c:v>2.6300000000000097</c:v>
                </c:pt>
                <c:pt idx="75">
                  <c:v>3.3799999999999955</c:v>
                </c:pt>
                <c:pt idx="76">
                  <c:v>5.0299999999999869</c:v>
                </c:pt>
                <c:pt idx="77">
                  <c:v>3.9000000000000057</c:v>
                </c:pt>
                <c:pt idx="78">
                  <c:v>1.6100000000000136</c:v>
                </c:pt>
                <c:pt idx="79">
                  <c:v>2.7699999999999818</c:v>
                </c:pt>
                <c:pt idx="80">
                  <c:v>7.910000000000025</c:v>
                </c:pt>
                <c:pt idx="81">
                  <c:v>14.699999999999989</c:v>
                </c:pt>
                <c:pt idx="82">
                  <c:v>22.949999999999989</c:v>
                </c:pt>
                <c:pt idx="83">
                  <c:v>24.180000000000007</c:v>
                </c:pt>
                <c:pt idx="84">
                  <c:v>18.72</c:v>
                </c:pt>
                <c:pt idx="85">
                  <c:v>28.710000000000008</c:v>
                </c:pt>
                <c:pt idx="86">
                  <c:v>18.670000000000016</c:v>
                </c:pt>
                <c:pt idx="87">
                  <c:v>14.079999999999984</c:v>
                </c:pt>
                <c:pt idx="88">
                  <c:v>22.909999999999968</c:v>
                </c:pt>
                <c:pt idx="89">
                  <c:v>5.9500000000000455</c:v>
                </c:pt>
                <c:pt idx="90">
                  <c:v>7.2899999999999636</c:v>
                </c:pt>
                <c:pt idx="91">
                  <c:v>12.28000000000003</c:v>
                </c:pt>
                <c:pt idx="92">
                  <c:v>9.2599999999999909</c:v>
                </c:pt>
                <c:pt idx="93">
                  <c:v>5.0299999999999727</c:v>
                </c:pt>
                <c:pt idx="94">
                  <c:v>-0.75999999999999091</c:v>
                </c:pt>
                <c:pt idx="95">
                  <c:v>9.9600000000000364</c:v>
                </c:pt>
                <c:pt idx="96">
                  <c:v>0.94999999999998863</c:v>
                </c:pt>
                <c:pt idx="97">
                  <c:v>4.1800000000000068</c:v>
                </c:pt>
                <c:pt idx="98">
                  <c:v>0.75</c:v>
                </c:pt>
                <c:pt idx="99">
                  <c:v>0.96999999999997044</c:v>
                </c:pt>
                <c:pt idx="100">
                  <c:v>17.210000000000036</c:v>
                </c:pt>
                <c:pt idx="101">
                  <c:v>29.769999999999982</c:v>
                </c:pt>
                <c:pt idx="102">
                  <c:v>31.949999999999989</c:v>
                </c:pt>
                <c:pt idx="103">
                  <c:v>12.730000000000018</c:v>
                </c:pt>
                <c:pt idx="104">
                  <c:v>9.8999999999999773</c:v>
                </c:pt>
                <c:pt idx="105">
                  <c:v>5.4000000000000341</c:v>
                </c:pt>
                <c:pt idx="106">
                  <c:v>11.659999999999968</c:v>
                </c:pt>
                <c:pt idx="107">
                  <c:v>36.389999999999986</c:v>
                </c:pt>
                <c:pt idx="108">
                  <c:v>18.690000000000055</c:v>
                </c:pt>
                <c:pt idx="109">
                  <c:v>6.2799999999999727</c:v>
                </c:pt>
                <c:pt idx="110">
                  <c:v>9.3899999999999864</c:v>
                </c:pt>
                <c:pt idx="111">
                  <c:v>4.7200000000000273</c:v>
                </c:pt>
                <c:pt idx="112">
                  <c:v>5.1999999999999318</c:v>
                </c:pt>
                <c:pt idx="113">
                  <c:v>19.32000000000005</c:v>
                </c:pt>
                <c:pt idx="114">
                  <c:v>8.1399999999999864</c:v>
                </c:pt>
                <c:pt idx="115">
                  <c:v>10.490000000000009</c:v>
                </c:pt>
                <c:pt idx="116">
                  <c:v>16.590000000000032</c:v>
                </c:pt>
                <c:pt idx="117">
                  <c:v>8.7200000000000273</c:v>
                </c:pt>
                <c:pt idx="118">
                  <c:v>13.389999999999986</c:v>
                </c:pt>
                <c:pt idx="119">
                  <c:v>37.799999999999955</c:v>
                </c:pt>
                <c:pt idx="120">
                  <c:v>15.940000000000055</c:v>
                </c:pt>
                <c:pt idx="121">
                  <c:v>12.489999999999895</c:v>
                </c:pt>
                <c:pt idx="122">
                  <c:v>14.380000000000109</c:v>
                </c:pt>
                <c:pt idx="123">
                  <c:v>15.539999999999964</c:v>
                </c:pt>
                <c:pt idx="124">
                  <c:v>18.579999999999927</c:v>
                </c:pt>
                <c:pt idx="125">
                  <c:v>27.850000000000023</c:v>
                </c:pt>
                <c:pt idx="126">
                  <c:v>10.170000000000073</c:v>
                </c:pt>
                <c:pt idx="127">
                  <c:v>17.120000000000005</c:v>
                </c:pt>
                <c:pt idx="128">
                  <c:v>16.559999999999945</c:v>
                </c:pt>
                <c:pt idx="129">
                  <c:v>15.25</c:v>
                </c:pt>
                <c:pt idx="130">
                  <c:v>10.990000000000009</c:v>
                </c:pt>
                <c:pt idx="131">
                  <c:v>32.940000000000055</c:v>
                </c:pt>
                <c:pt idx="132">
                  <c:v>27.509999999999991</c:v>
                </c:pt>
                <c:pt idx="133">
                  <c:v>35.620000000000005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C3-2747-B45A-709960119D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0642943"/>
        <c:axId val="1390646975"/>
      </c:barChart>
      <c:lineChart>
        <c:grouping val="standard"/>
        <c:varyColors val="0"/>
        <c:ser>
          <c:idx val="1"/>
          <c:order val="1"/>
          <c:tx>
            <c:strRef>
              <c:f>Endeks!$D$1:$D$2</c:f>
              <c:strCache>
                <c:ptCount val="2"/>
                <c:pt idx="0">
                  <c:v>Aylık % Değişim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Endeks!$A$3:$A$142</c:f>
              <c:numCache>
                <c:formatCode>m/d/yy</c:formatCode>
                <c:ptCount val="140"/>
                <c:pt idx="0">
                  <c:v>42036</c:v>
                </c:pt>
                <c:pt idx="1">
                  <c:v>42064</c:v>
                </c:pt>
                <c:pt idx="2">
                  <c:v>42095</c:v>
                </c:pt>
                <c:pt idx="3">
                  <c:v>42125</c:v>
                </c:pt>
                <c:pt idx="4">
                  <c:v>42156</c:v>
                </c:pt>
                <c:pt idx="5">
                  <c:v>42186</c:v>
                </c:pt>
                <c:pt idx="6">
                  <c:v>42217</c:v>
                </c:pt>
                <c:pt idx="7">
                  <c:v>42248</c:v>
                </c:pt>
                <c:pt idx="8">
                  <c:v>42278</c:v>
                </c:pt>
                <c:pt idx="9">
                  <c:v>42309</c:v>
                </c:pt>
                <c:pt idx="10">
                  <c:v>42339</c:v>
                </c:pt>
                <c:pt idx="11">
                  <c:v>42370</c:v>
                </c:pt>
                <c:pt idx="12">
                  <c:v>42401</c:v>
                </c:pt>
                <c:pt idx="13">
                  <c:v>42430</c:v>
                </c:pt>
                <c:pt idx="14">
                  <c:v>42461</c:v>
                </c:pt>
                <c:pt idx="15">
                  <c:v>42491</c:v>
                </c:pt>
                <c:pt idx="16">
                  <c:v>42522</c:v>
                </c:pt>
                <c:pt idx="17">
                  <c:v>42552</c:v>
                </c:pt>
                <c:pt idx="18">
                  <c:v>42583</c:v>
                </c:pt>
                <c:pt idx="19">
                  <c:v>42614</c:v>
                </c:pt>
                <c:pt idx="20">
                  <c:v>42644</c:v>
                </c:pt>
                <c:pt idx="21">
                  <c:v>42675</c:v>
                </c:pt>
                <c:pt idx="22">
                  <c:v>42705</c:v>
                </c:pt>
                <c:pt idx="23">
                  <c:v>42736</c:v>
                </c:pt>
                <c:pt idx="24">
                  <c:v>42767</c:v>
                </c:pt>
                <c:pt idx="25">
                  <c:v>42795</c:v>
                </c:pt>
                <c:pt idx="26">
                  <c:v>42826</c:v>
                </c:pt>
                <c:pt idx="27">
                  <c:v>42856</c:v>
                </c:pt>
                <c:pt idx="28">
                  <c:v>42887</c:v>
                </c:pt>
                <c:pt idx="29">
                  <c:v>42917</c:v>
                </c:pt>
                <c:pt idx="30">
                  <c:v>42948</c:v>
                </c:pt>
                <c:pt idx="31">
                  <c:v>42979</c:v>
                </c:pt>
                <c:pt idx="32">
                  <c:v>43009</c:v>
                </c:pt>
                <c:pt idx="33">
                  <c:v>43040</c:v>
                </c:pt>
                <c:pt idx="34">
                  <c:v>43070</c:v>
                </c:pt>
                <c:pt idx="35">
                  <c:v>43101</c:v>
                </c:pt>
                <c:pt idx="36">
                  <c:v>43132</c:v>
                </c:pt>
                <c:pt idx="37">
                  <c:v>43160</c:v>
                </c:pt>
                <c:pt idx="38">
                  <c:v>43191</c:v>
                </c:pt>
                <c:pt idx="39">
                  <c:v>43221</c:v>
                </c:pt>
                <c:pt idx="40">
                  <c:v>43252</c:v>
                </c:pt>
                <c:pt idx="41">
                  <c:v>43282</c:v>
                </c:pt>
                <c:pt idx="42">
                  <c:v>43313</c:v>
                </c:pt>
                <c:pt idx="43">
                  <c:v>43344</c:v>
                </c:pt>
                <c:pt idx="44">
                  <c:v>43374</c:v>
                </c:pt>
                <c:pt idx="45">
                  <c:v>43405</c:v>
                </c:pt>
                <c:pt idx="46">
                  <c:v>43435</c:v>
                </c:pt>
                <c:pt idx="47">
                  <c:v>43466</c:v>
                </c:pt>
                <c:pt idx="48">
                  <c:v>43497</c:v>
                </c:pt>
                <c:pt idx="49">
                  <c:v>43525</c:v>
                </c:pt>
                <c:pt idx="50">
                  <c:v>43556</c:v>
                </c:pt>
                <c:pt idx="51">
                  <c:v>43586</c:v>
                </c:pt>
                <c:pt idx="52">
                  <c:v>43617</c:v>
                </c:pt>
                <c:pt idx="53">
                  <c:v>43647</c:v>
                </c:pt>
                <c:pt idx="54">
                  <c:v>43678</c:v>
                </c:pt>
                <c:pt idx="55">
                  <c:v>43709</c:v>
                </c:pt>
                <c:pt idx="56">
                  <c:v>43739</c:v>
                </c:pt>
                <c:pt idx="57">
                  <c:v>43770</c:v>
                </c:pt>
                <c:pt idx="58">
                  <c:v>43800</c:v>
                </c:pt>
                <c:pt idx="59">
                  <c:v>43831</c:v>
                </c:pt>
                <c:pt idx="60">
                  <c:v>43862</c:v>
                </c:pt>
                <c:pt idx="61">
                  <c:v>43891</c:v>
                </c:pt>
                <c:pt idx="62">
                  <c:v>43922</c:v>
                </c:pt>
                <c:pt idx="63">
                  <c:v>43952</c:v>
                </c:pt>
                <c:pt idx="64">
                  <c:v>43983</c:v>
                </c:pt>
                <c:pt idx="65">
                  <c:v>44013</c:v>
                </c:pt>
                <c:pt idx="66">
                  <c:v>44044</c:v>
                </c:pt>
                <c:pt idx="67">
                  <c:v>44075</c:v>
                </c:pt>
                <c:pt idx="68">
                  <c:v>44105</c:v>
                </c:pt>
                <c:pt idx="69">
                  <c:v>44136</c:v>
                </c:pt>
                <c:pt idx="70">
                  <c:v>44166</c:v>
                </c:pt>
                <c:pt idx="71">
                  <c:v>44197</c:v>
                </c:pt>
                <c:pt idx="72">
                  <c:v>44228</c:v>
                </c:pt>
                <c:pt idx="73">
                  <c:v>44256</c:v>
                </c:pt>
                <c:pt idx="74">
                  <c:v>44287</c:v>
                </c:pt>
                <c:pt idx="75">
                  <c:v>44317</c:v>
                </c:pt>
                <c:pt idx="76">
                  <c:v>44348</c:v>
                </c:pt>
                <c:pt idx="77">
                  <c:v>44378</c:v>
                </c:pt>
                <c:pt idx="78">
                  <c:v>44409</c:v>
                </c:pt>
                <c:pt idx="79">
                  <c:v>44440</c:v>
                </c:pt>
                <c:pt idx="80">
                  <c:v>44470</c:v>
                </c:pt>
                <c:pt idx="81">
                  <c:v>44501</c:v>
                </c:pt>
                <c:pt idx="82">
                  <c:v>44531</c:v>
                </c:pt>
                <c:pt idx="83">
                  <c:v>44562</c:v>
                </c:pt>
                <c:pt idx="84">
                  <c:v>44593</c:v>
                </c:pt>
                <c:pt idx="85">
                  <c:v>44621</c:v>
                </c:pt>
                <c:pt idx="86">
                  <c:v>44652</c:v>
                </c:pt>
                <c:pt idx="87">
                  <c:v>44682</c:v>
                </c:pt>
                <c:pt idx="88">
                  <c:v>44713</c:v>
                </c:pt>
                <c:pt idx="89">
                  <c:v>44743</c:v>
                </c:pt>
                <c:pt idx="90">
                  <c:v>44774</c:v>
                </c:pt>
                <c:pt idx="91">
                  <c:v>44805</c:v>
                </c:pt>
                <c:pt idx="92">
                  <c:v>44835</c:v>
                </c:pt>
                <c:pt idx="93">
                  <c:v>44866</c:v>
                </c:pt>
                <c:pt idx="94">
                  <c:v>44896</c:v>
                </c:pt>
                <c:pt idx="95">
                  <c:v>44927</c:v>
                </c:pt>
                <c:pt idx="96">
                  <c:v>44958</c:v>
                </c:pt>
                <c:pt idx="97">
                  <c:v>44986</c:v>
                </c:pt>
                <c:pt idx="98">
                  <c:v>45017</c:v>
                </c:pt>
                <c:pt idx="99">
                  <c:v>45047</c:v>
                </c:pt>
                <c:pt idx="100">
                  <c:v>45078</c:v>
                </c:pt>
                <c:pt idx="101">
                  <c:v>45108</c:v>
                </c:pt>
                <c:pt idx="102">
                  <c:v>45139</c:v>
                </c:pt>
                <c:pt idx="103">
                  <c:v>45170</c:v>
                </c:pt>
                <c:pt idx="104">
                  <c:v>45200</c:v>
                </c:pt>
                <c:pt idx="105">
                  <c:v>45231</c:v>
                </c:pt>
                <c:pt idx="106">
                  <c:v>45261</c:v>
                </c:pt>
                <c:pt idx="107">
                  <c:v>45292</c:v>
                </c:pt>
                <c:pt idx="108">
                  <c:v>45323</c:v>
                </c:pt>
                <c:pt idx="109">
                  <c:v>45352</c:v>
                </c:pt>
                <c:pt idx="110">
                  <c:v>45383</c:v>
                </c:pt>
                <c:pt idx="111">
                  <c:v>45413</c:v>
                </c:pt>
                <c:pt idx="112">
                  <c:v>45444</c:v>
                </c:pt>
                <c:pt idx="113">
                  <c:v>45474</c:v>
                </c:pt>
                <c:pt idx="114">
                  <c:v>45505</c:v>
                </c:pt>
                <c:pt idx="115">
                  <c:v>45536</c:v>
                </c:pt>
                <c:pt idx="116">
                  <c:v>45566</c:v>
                </c:pt>
                <c:pt idx="117">
                  <c:v>45597</c:v>
                </c:pt>
                <c:pt idx="118">
                  <c:v>45627</c:v>
                </c:pt>
                <c:pt idx="119">
                  <c:v>45658</c:v>
                </c:pt>
                <c:pt idx="120">
                  <c:v>45689</c:v>
                </c:pt>
                <c:pt idx="121">
                  <c:v>45717</c:v>
                </c:pt>
                <c:pt idx="122">
                  <c:v>45748</c:v>
                </c:pt>
                <c:pt idx="123">
                  <c:v>45778</c:v>
                </c:pt>
                <c:pt idx="124">
                  <c:v>45809</c:v>
                </c:pt>
                <c:pt idx="125">
                  <c:v>45839</c:v>
                </c:pt>
                <c:pt idx="126">
                  <c:v>45870</c:v>
                </c:pt>
                <c:pt idx="127">
                  <c:v>45901</c:v>
                </c:pt>
                <c:pt idx="128">
                  <c:v>45931</c:v>
                </c:pt>
                <c:pt idx="129">
                  <c:v>45962</c:v>
                </c:pt>
                <c:pt idx="130">
                  <c:v>45992</c:v>
                </c:pt>
                <c:pt idx="131">
                  <c:v>46023</c:v>
                </c:pt>
                <c:pt idx="132">
                  <c:v>46054</c:v>
                </c:pt>
                <c:pt idx="133">
                  <c:v>46082</c:v>
                </c:pt>
              </c:numCache>
            </c:numRef>
          </c:cat>
          <c:val>
            <c:numRef>
              <c:f>Endeks!$D$3:$D$142</c:f>
              <c:numCache>
                <c:formatCode>0.00%</c:formatCode>
                <c:ptCount val="140"/>
                <c:pt idx="0">
                  <c:v>6.6830812521985195E-3</c:v>
                </c:pt>
                <c:pt idx="1">
                  <c:v>3.1446540880502027E-3</c:v>
                </c:pt>
                <c:pt idx="2">
                  <c:v>2.089864158829613E-3</c:v>
                </c:pt>
                <c:pt idx="3">
                  <c:v>6.7778936392075551E-3</c:v>
                </c:pt>
                <c:pt idx="4">
                  <c:v>8.6311065078548133E-4</c:v>
                </c:pt>
                <c:pt idx="5">
                  <c:v>-5.0017247326664682E-3</c:v>
                </c:pt>
                <c:pt idx="6">
                  <c:v>3.9868261397122406E-3</c:v>
                </c:pt>
                <c:pt idx="7">
                  <c:v>6.7334254143647243E-3</c:v>
                </c:pt>
                <c:pt idx="8">
                  <c:v>-1.5434745326702304E-3</c:v>
                </c:pt>
                <c:pt idx="9">
                  <c:v>1.7176228100308499E-3</c:v>
                </c:pt>
                <c:pt idx="10">
                  <c:v>-2.057613168724215E-3</c:v>
                </c:pt>
                <c:pt idx="11">
                  <c:v>1.3058419243986208E-2</c:v>
                </c:pt>
                <c:pt idx="12">
                  <c:v>-2.8833107191316154E-3</c:v>
                </c:pt>
                <c:pt idx="13">
                  <c:v>3.7421330158189381E-3</c:v>
                </c:pt>
                <c:pt idx="14">
                  <c:v>3.3892560582948761E-4</c:v>
                </c:pt>
                <c:pt idx="15">
                  <c:v>6.6068100965610554E-3</c:v>
                </c:pt>
                <c:pt idx="16">
                  <c:v>3.1975765735441364E-3</c:v>
                </c:pt>
                <c:pt idx="17">
                  <c:v>3.6906559302130049E-3</c:v>
                </c:pt>
                <c:pt idx="18">
                  <c:v>-1.0028413839210382E-3</c:v>
                </c:pt>
                <c:pt idx="19">
                  <c:v>5.5211644637778168E-3</c:v>
                </c:pt>
                <c:pt idx="20">
                  <c:v>9.8169717138103518E-3</c:v>
                </c:pt>
                <c:pt idx="21">
                  <c:v>5.4374691052891944E-3</c:v>
                </c:pt>
                <c:pt idx="22">
                  <c:v>1.507702392658139E-2</c:v>
                </c:pt>
                <c:pt idx="23">
                  <c:v>1.7113335485954284E-2</c:v>
                </c:pt>
                <c:pt idx="24">
                  <c:v>8.0952380952381553E-3</c:v>
                </c:pt>
                <c:pt idx="25">
                  <c:v>5.1960321209258975E-3</c:v>
                </c:pt>
                <c:pt idx="26">
                  <c:v>7.6754385964912242E-3</c:v>
                </c:pt>
                <c:pt idx="27">
                  <c:v>-9.3269081299551804E-4</c:v>
                </c:pt>
                <c:pt idx="28">
                  <c:v>-1.7115294849852081E-3</c:v>
                </c:pt>
                <c:pt idx="29">
                  <c:v>1.2624688279301743E-2</c:v>
                </c:pt>
                <c:pt idx="30">
                  <c:v>6.7723564722179663E-3</c:v>
                </c:pt>
                <c:pt idx="31">
                  <c:v>8.5613820516741157E-3</c:v>
                </c:pt>
                <c:pt idx="32">
                  <c:v>1.8038502349552843E-2</c:v>
                </c:pt>
                <c:pt idx="33">
                  <c:v>2.2185824895771367E-2</c:v>
                </c:pt>
                <c:pt idx="34">
                  <c:v>1.1216314639475478E-2</c:v>
                </c:pt>
                <c:pt idx="35">
                  <c:v>3.3995966580236292E-2</c:v>
                </c:pt>
                <c:pt idx="36">
                  <c:v>1.0030649205907016E-2</c:v>
                </c:pt>
                <c:pt idx="37">
                  <c:v>1.2137931034482685E-2</c:v>
                </c:pt>
                <c:pt idx="38">
                  <c:v>2.1259198691741643E-2</c:v>
                </c:pt>
                <c:pt idx="39">
                  <c:v>1.1742727515345441E-2</c:v>
                </c:pt>
                <c:pt idx="40">
                  <c:v>1.1078871010287594E-2</c:v>
                </c:pt>
                <c:pt idx="41">
                  <c:v>1.4218627706757081E-2</c:v>
                </c:pt>
                <c:pt idx="42">
                  <c:v>3.8070739549839194E-2</c:v>
                </c:pt>
                <c:pt idx="43">
                  <c:v>3.4444306777350997E-2</c:v>
                </c:pt>
                <c:pt idx="44">
                  <c:v>2.7188884896394816E-2</c:v>
                </c:pt>
                <c:pt idx="45">
                  <c:v>8.1623134328356883E-4</c:v>
                </c:pt>
                <c:pt idx="46">
                  <c:v>-6.2915064662704134E-3</c:v>
                </c:pt>
                <c:pt idx="47">
                  <c:v>2.192519638879098E-2</c:v>
                </c:pt>
                <c:pt idx="48">
                  <c:v>4.9334557136302415E-3</c:v>
                </c:pt>
                <c:pt idx="49">
                  <c:v>1.3357689233930881E-2</c:v>
                </c:pt>
                <c:pt idx="50">
                  <c:v>8.44975214060395E-3</c:v>
                </c:pt>
                <c:pt idx="51">
                  <c:v>1.5305552452239857E-2</c:v>
                </c:pt>
                <c:pt idx="52">
                  <c:v>3.3010563380275748E-4</c:v>
                </c:pt>
                <c:pt idx="53">
                  <c:v>6.3799362006380367E-3</c:v>
                </c:pt>
                <c:pt idx="54">
                  <c:v>1.4209203191606345E-3</c:v>
                </c:pt>
                <c:pt idx="55">
                  <c:v>-1.0914647456894411E-4</c:v>
                </c:pt>
                <c:pt idx="56">
                  <c:v>9.0601462722410542E-3</c:v>
                </c:pt>
                <c:pt idx="57">
                  <c:v>8.0051925573345617E-3</c:v>
                </c:pt>
                <c:pt idx="58">
                  <c:v>8.2635758746512078E-3</c:v>
                </c:pt>
                <c:pt idx="59">
                  <c:v>1.0643959552953719E-2</c:v>
                </c:pt>
                <c:pt idx="60">
                  <c:v>4.2127435492362864E-3</c:v>
                </c:pt>
                <c:pt idx="61">
                  <c:v>3.7755637126375419E-3</c:v>
                </c:pt>
                <c:pt idx="62">
                  <c:v>1.1597534217949956E-2</c:v>
                </c:pt>
                <c:pt idx="63">
                  <c:v>2.8919644701508318E-3</c:v>
                </c:pt>
                <c:pt idx="64">
                  <c:v>-9.2687950566416877E-4</c:v>
                </c:pt>
                <c:pt idx="65">
                  <c:v>7.4219152664674048E-3</c:v>
                </c:pt>
                <c:pt idx="66">
                  <c:v>1.7906477028547974E-2</c:v>
                </c:pt>
                <c:pt idx="67">
                  <c:v>2.0406111781262615E-2</c:v>
                </c:pt>
                <c:pt idx="68">
                  <c:v>3.3395724559156736E-2</c:v>
                </c:pt>
                <c:pt idx="69">
                  <c:v>3.3651096282173443E-2</c:v>
                </c:pt>
                <c:pt idx="70">
                  <c:v>2.3886378308586087E-2</c:v>
                </c:pt>
                <c:pt idx="71">
                  <c:v>2.6571788866870838E-2</c:v>
                </c:pt>
                <c:pt idx="72">
                  <c:v>1.7022023339475334E-2</c:v>
                </c:pt>
                <c:pt idx="73">
                  <c:v>1.483909930118199E-2</c:v>
                </c:pt>
                <c:pt idx="74">
                  <c:v>2.2358241945082069E-2</c:v>
                </c:pt>
                <c:pt idx="75">
                  <c:v>2.8105770829868648E-2</c:v>
                </c:pt>
                <c:pt idx="76">
                  <c:v>4.0682626981559222E-2</c:v>
                </c:pt>
                <c:pt idx="77">
                  <c:v>3.0310095593378383E-2</c:v>
                </c:pt>
                <c:pt idx="78">
                  <c:v>1.2144527419476692E-2</c:v>
                </c:pt>
                <c:pt idx="79">
                  <c:v>2.0643911164107687E-2</c:v>
                </c:pt>
                <c:pt idx="80">
                  <c:v>5.7758305951077116E-2</c:v>
                </c:pt>
                <c:pt idx="81">
                  <c:v>0.10147728841640191</c:v>
                </c:pt>
                <c:pt idx="82">
                  <c:v>0.14383304086237136</c:v>
                </c:pt>
                <c:pt idx="83">
                  <c:v>0.13248589118404475</c:v>
                </c:pt>
                <c:pt idx="84">
                  <c:v>9.0570419468769758E-2</c:v>
                </c:pt>
                <c:pt idx="85">
                  <c:v>0.12736790736879477</c:v>
                </c:pt>
                <c:pt idx="86">
                  <c:v>7.3469227136785831E-2</c:v>
                </c:pt>
                <c:pt idx="87">
                  <c:v>5.1614795263756008E-2</c:v>
                </c:pt>
                <c:pt idx="88">
                  <c:v>7.9861958378359521E-2</c:v>
                </c:pt>
                <c:pt idx="89">
                  <c:v>1.9207179288527554E-2</c:v>
                </c:pt>
                <c:pt idx="90">
                  <c:v>2.3089348493966266E-2</c:v>
                </c:pt>
                <c:pt idx="91">
                  <c:v>3.801622190576448E-2</c:v>
                </c:pt>
                <c:pt idx="92">
                  <c:v>2.7617059349835937E-2</c:v>
                </c:pt>
                <c:pt idx="93">
                  <c:v>1.4598328302762864E-2</c:v>
                </c:pt>
                <c:pt idx="94">
                  <c:v>-2.1739752281243474E-3</c:v>
                </c:pt>
                <c:pt idx="95">
                  <c:v>2.8552590086861951E-2</c:v>
                </c:pt>
                <c:pt idx="96">
                  <c:v>2.6477883998996532E-3</c:v>
                </c:pt>
                <c:pt idx="97">
                  <c:v>1.1619502974370421E-2</c:v>
                </c:pt>
                <c:pt idx="98">
                  <c:v>2.0608925038470005E-3</c:v>
                </c:pt>
                <c:pt idx="99">
                  <c:v>2.6599391230426317E-3</c:v>
                </c:pt>
                <c:pt idx="100">
                  <c:v>4.7068154468876688E-2</c:v>
                </c:pt>
                <c:pt idx="101">
                  <c:v>7.7758913412563579E-2</c:v>
                </c:pt>
                <c:pt idx="102">
                  <c:v>7.7432019776065175E-2</c:v>
                </c:pt>
                <c:pt idx="103">
                  <c:v>2.86344107789549E-2</c:v>
                </c:pt>
                <c:pt idx="104">
                  <c:v>2.1648808222173521E-2</c:v>
                </c:pt>
                <c:pt idx="105">
                  <c:v>1.1558219178082307E-2</c:v>
                </c:pt>
                <c:pt idx="106">
                  <c:v>2.4672027084214898E-2</c:v>
                </c:pt>
                <c:pt idx="107">
                  <c:v>7.5145582951307022E-2</c:v>
                </c:pt>
                <c:pt idx="108">
                  <c:v>3.5897435897435992E-2</c:v>
                </c:pt>
                <c:pt idx="109">
                  <c:v>1.1643861015314894E-2</c:v>
                </c:pt>
                <c:pt idx="110">
                  <c:v>1.7209779700157579E-2</c:v>
                </c:pt>
                <c:pt idx="111">
                  <c:v>8.504351272950128E-3</c:v>
                </c:pt>
                <c:pt idx="112">
                  <c:v>9.2901934861449043E-3</c:v>
                </c:pt>
                <c:pt idx="113">
                  <c:v>3.4198927300727711E-2</c:v>
                </c:pt>
                <c:pt idx="114">
                  <c:v>1.3932391955498558E-2</c:v>
                </c:pt>
                <c:pt idx="115">
                  <c:v>1.770792889819206E-2</c:v>
                </c:pt>
                <c:pt idx="116">
                  <c:v>2.7517914012738842E-2</c:v>
                </c:pt>
                <c:pt idx="117">
                  <c:v>1.4076549308279729E-2</c:v>
                </c:pt>
                <c:pt idx="118">
                  <c:v>2.1315207182540208E-2</c:v>
                </c:pt>
                <c:pt idx="119">
                  <c:v>5.8917048536425654E-2</c:v>
                </c:pt>
                <c:pt idx="120">
                  <c:v>2.3462568812741003E-2</c:v>
                </c:pt>
                <c:pt idx="121">
                  <c:v>1.7962952309727775E-2</c:v>
                </c:pt>
                <c:pt idx="122">
                  <c:v>2.0316186547237436E-2</c:v>
                </c:pt>
                <c:pt idx="123">
                  <c:v>2.1517883105553803E-2</c:v>
                </c:pt>
                <c:pt idx="124">
                  <c:v>2.5185365919780933E-2</c:v>
                </c:pt>
                <c:pt idx="125">
                  <c:v>3.6823524745144276E-2</c:v>
                </c:pt>
                <c:pt idx="126">
                  <c:v>1.2969291981228315E-2</c:v>
                </c:pt>
                <c:pt idx="127">
                  <c:v>2.1552755152140834E-2</c:v>
                </c:pt>
                <c:pt idx="128">
                  <c:v>2.0407911762893471E-2</c:v>
                </c:pt>
                <c:pt idx="129">
                  <c:v>1.841765196072509E-2</c:v>
                </c:pt>
                <c:pt idx="130">
                  <c:v>1.303275383630198E-2</c:v>
                </c:pt>
                <c:pt idx="131">
                  <c:v>3.8560140474100058E-2</c:v>
                </c:pt>
                <c:pt idx="132">
                  <c:v>3.1008014066885359E-2</c:v>
                </c:pt>
                <c:pt idx="133">
                  <c:v>3.8941729528807256E-2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C3-2747-B45A-709960119D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90653695"/>
        <c:axId val="1390645631"/>
      </c:lineChart>
      <c:dateAx>
        <c:axId val="1390642943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390646975"/>
        <c:crosses val="autoZero"/>
        <c:auto val="1"/>
        <c:lblOffset val="100"/>
        <c:baseTimeUnit val="months"/>
      </c:dateAx>
      <c:valAx>
        <c:axId val="139064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390642943"/>
        <c:crosses val="autoZero"/>
        <c:crossBetween val="between"/>
      </c:valAx>
      <c:valAx>
        <c:axId val="1390645631"/>
        <c:scaling>
          <c:orientation val="minMax"/>
        </c:scaling>
        <c:delete val="0"/>
        <c:axPos val="r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390653695"/>
        <c:crosses val="max"/>
        <c:crossBetween val="between"/>
      </c:valAx>
      <c:dateAx>
        <c:axId val="1390653695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1390645631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Yıllık Değişim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Endeks!$E$1:$E$13</c:f>
              <c:strCache>
                <c:ptCount val="13"/>
                <c:pt idx="0">
                  <c:v>Yıllık Mutlak Değişim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Endeks!$A$14:$A$142</c:f>
              <c:numCache>
                <c:formatCode>m/d/yy</c:formatCode>
                <c:ptCount val="129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  <c:pt idx="115">
                  <c:v>45870</c:v>
                </c:pt>
                <c:pt idx="116">
                  <c:v>45901</c:v>
                </c:pt>
                <c:pt idx="117">
                  <c:v>45931</c:v>
                </c:pt>
                <c:pt idx="118">
                  <c:v>45962</c:v>
                </c:pt>
                <c:pt idx="119">
                  <c:v>45992</c:v>
                </c:pt>
                <c:pt idx="120">
                  <c:v>46023</c:v>
                </c:pt>
                <c:pt idx="121">
                  <c:v>46054</c:v>
                </c:pt>
                <c:pt idx="122">
                  <c:v>46082</c:v>
                </c:pt>
              </c:numCache>
            </c:numRef>
          </c:cat>
          <c:val>
            <c:numRef>
              <c:f>Endeks!$E$14:$E$142</c:f>
              <c:numCache>
                <c:formatCode>#,##0.00</c:formatCode>
                <c:ptCount val="129"/>
                <c:pt idx="0">
                  <c:v>2.1000000000000014</c:v>
                </c:pt>
                <c:pt idx="1">
                  <c:v>1.5499999999999972</c:v>
                </c:pt>
                <c:pt idx="2">
                  <c:v>1.5899999999999963</c:v>
                </c:pt>
                <c:pt idx="3">
                  <c:v>1.490000000000002</c:v>
                </c:pt>
                <c:pt idx="4">
                  <c:v>1.490000000000002</c:v>
                </c:pt>
                <c:pt idx="5">
                  <c:v>1.6300000000000026</c:v>
                </c:pt>
                <c:pt idx="6">
                  <c:v>2.1400000000000006</c:v>
                </c:pt>
                <c:pt idx="7">
                  <c:v>1.8500000000000014</c:v>
                </c:pt>
                <c:pt idx="8">
                  <c:v>1.7899999999999991</c:v>
                </c:pt>
                <c:pt idx="9">
                  <c:v>2.4699999999999989</c:v>
                </c:pt>
                <c:pt idx="10">
                  <c:v>2.7000000000000028</c:v>
                </c:pt>
                <c:pt idx="11">
                  <c:v>3.7399999999999949</c:v>
                </c:pt>
                <c:pt idx="12">
                  <c:v>4.0399999999999991</c:v>
                </c:pt>
                <c:pt idx="13">
                  <c:v>4.7199999999999989</c:v>
                </c:pt>
                <c:pt idx="14">
                  <c:v>4.8300000000000054</c:v>
                </c:pt>
                <c:pt idx="15">
                  <c:v>5.2999999999999972</c:v>
                </c:pt>
                <c:pt idx="16">
                  <c:v>4.8499999999999943</c:v>
                </c:pt>
                <c:pt idx="17">
                  <c:v>4.5499999999999972</c:v>
                </c:pt>
                <c:pt idx="18">
                  <c:v>5.1400000000000006</c:v>
                </c:pt>
                <c:pt idx="19">
                  <c:v>5.6399999999999935</c:v>
                </c:pt>
                <c:pt idx="20">
                  <c:v>5.8699999999999974</c:v>
                </c:pt>
                <c:pt idx="21">
                  <c:v>6.4699999999999989</c:v>
                </c:pt>
                <c:pt idx="22">
                  <c:v>7.6300000000000026</c:v>
                </c:pt>
                <c:pt idx="23">
                  <c:v>7.480000000000004</c:v>
                </c:pt>
                <c:pt idx="24">
                  <c:v>8.7800000000000011</c:v>
                </c:pt>
                <c:pt idx="25">
                  <c:v>8.990000000000002</c:v>
                </c:pt>
                <c:pt idx="26">
                  <c:v>9.539999999999992</c:v>
                </c:pt>
                <c:pt idx="27">
                  <c:v>10.61</c:v>
                </c:pt>
                <c:pt idx="28">
                  <c:v>11.549999999999997</c:v>
                </c:pt>
                <c:pt idx="29">
                  <c:v>12.5</c:v>
                </c:pt>
                <c:pt idx="30">
                  <c:v>12.780000000000001</c:v>
                </c:pt>
                <c:pt idx="31">
                  <c:v>15.299999999999997</c:v>
                </c:pt>
                <c:pt idx="32">
                  <c:v>17.519999999999996</c:v>
                </c:pt>
                <c:pt idx="33">
                  <c:v>18.600000000000009</c:v>
                </c:pt>
                <c:pt idx="34">
                  <c:v>17.179999999999993</c:v>
                </c:pt>
                <c:pt idx="35">
                  <c:v>15.870000000000005</c:v>
                </c:pt>
                <c:pt idx="36">
                  <c:v>15.379999999999995</c:v>
                </c:pt>
                <c:pt idx="37">
                  <c:v>15.090000000000003</c:v>
                </c:pt>
                <c:pt idx="38">
                  <c:v>15.38000000000001</c:v>
                </c:pt>
                <c:pt idx="39">
                  <c:v>14.570000000000007</c:v>
                </c:pt>
                <c:pt idx="40">
                  <c:v>15.060000000000002</c:v>
                </c:pt>
                <c:pt idx="41">
                  <c:v>14.25</c:v>
                </c:pt>
                <c:pt idx="42">
                  <c:v>13.739999999999995</c:v>
                </c:pt>
                <c:pt idx="43">
                  <c:v>10.910000000000011</c:v>
                </c:pt>
                <c:pt idx="44">
                  <c:v>8.1200000000000045</c:v>
                </c:pt>
                <c:pt idx="45">
                  <c:v>6.6799999999999926</c:v>
                </c:pt>
                <c:pt idx="46">
                  <c:v>7.3500000000000085</c:v>
                </c:pt>
                <c:pt idx="47">
                  <c:v>8.6599999999999966</c:v>
                </c:pt>
                <c:pt idx="48">
                  <c:v>7.7900000000000063</c:v>
                </c:pt>
                <c:pt idx="49">
                  <c:v>7.7599999999999909</c:v>
                </c:pt>
                <c:pt idx="50">
                  <c:v>6.9499999999999886</c:v>
                </c:pt>
                <c:pt idx="51">
                  <c:v>7.3099999999999881</c:v>
                </c:pt>
                <c:pt idx="52">
                  <c:v>6.2199999999999989</c:v>
                </c:pt>
                <c:pt idx="53">
                  <c:v>6.1000000000000085</c:v>
                </c:pt>
                <c:pt idx="54">
                  <c:v>6.2400000000000091</c:v>
                </c:pt>
                <c:pt idx="55">
                  <c:v>7.8599999999999994</c:v>
                </c:pt>
                <c:pt idx="56">
                  <c:v>9.9000000000000057</c:v>
                </c:pt>
                <c:pt idx="57">
                  <c:v>12.460000000000008</c:v>
                </c:pt>
                <c:pt idx="58">
                  <c:v>15.25</c:v>
                </c:pt>
                <c:pt idx="59">
                  <c:v>17.069999999999993</c:v>
                </c:pt>
                <c:pt idx="60">
                  <c:v>19.019999999999996</c:v>
                </c:pt>
                <c:pt idx="61">
                  <c:v>20.560000000000002</c:v>
                </c:pt>
                <c:pt idx="62">
                  <c:v>21.92</c:v>
                </c:pt>
                <c:pt idx="63">
                  <c:v>23.440000000000012</c:v>
                </c:pt>
                <c:pt idx="64">
                  <c:v>26.540000000000006</c:v>
                </c:pt>
                <c:pt idx="65">
                  <c:v>31.659999999999982</c:v>
                </c:pt>
                <c:pt idx="66">
                  <c:v>34.839999999999989</c:v>
                </c:pt>
                <c:pt idx="67">
                  <c:v>34.700000000000003</c:v>
                </c:pt>
                <c:pt idx="68">
                  <c:v>35.439999999999984</c:v>
                </c:pt>
                <c:pt idx="69">
                  <c:v>39.960000000000008</c:v>
                </c:pt>
                <c:pt idx="70">
                  <c:v>51.129999999999995</c:v>
                </c:pt>
                <c:pt idx="71">
                  <c:v>71.489999999999995</c:v>
                </c:pt>
                <c:pt idx="72">
                  <c:v>92.72</c:v>
                </c:pt>
                <c:pt idx="73">
                  <c:v>109.5</c:v>
                </c:pt>
                <c:pt idx="74">
                  <c:v>136.49</c:v>
                </c:pt>
                <c:pt idx="75">
                  <c:v>152.53000000000003</c:v>
                </c:pt>
                <c:pt idx="76">
                  <c:v>163.23000000000002</c:v>
                </c:pt>
                <c:pt idx="77">
                  <c:v>181.10999999999999</c:v>
                </c:pt>
                <c:pt idx="78">
                  <c:v>183.16000000000003</c:v>
                </c:pt>
                <c:pt idx="79">
                  <c:v>188.83999999999997</c:v>
                </c:pt>
                <c:pt idx="80">
                  <c:v>198.35000000000002</c:v>
                </c:pt>
                <c:pt idx="81">
                  <c:v>199.7</c:v>
                </c:pt>
                <c:pt idx="82">
                  <c:v>190.02999999999997</c:v>
                </c:pt>
                <c:pt idx="83">
                  <c:v>166.32</c:v>
                </c:pt>
                <c:pt idx="84">
                  <c:v>152.10000000000002</c:v>
                </c:pt>
                <c:pt idx="85">
                  <c:v>134.33000000000001</c:v>
                </c:pt>
                <c:pt idx="86">
                  <c:v>109.80000000000001</c:v>
                </c:pt>
                <c:pt idx="87">
                  <c:v>91.88</c:v>
                </c:pt>
                <c:pt idx="88">
                  <c:v>78.769999999999982</c:v>
                </c:pt>
                <c:pt idx="89">
                  <c:v>73.07000000000005</c:v>
                </c:pt>
                <c:pt idx="90">
                  <c:v>96.889999999999986</c:v>
                </c:pt>
                <c:pt idx="91">
                  <c:v>121.55000000000001</c:v>
                </c:pt>
                <c:pt idx="92">
                  <c:v>122</c:v>
                </c:pt>
                <c:pt idx="93">
                  <c:v>122.63999999999999</c:v>
                </c:pt>
                <c:pt idx="94">
                  <c:v>123.01000000000005</c:v>
                </c:pt>
                <c:pt idx="95">
                  <c:v>135.43</c:v>
                </c:pt>
                <c:pt idx="96">
                  <c:v>161.85999999999996</c:v>
                </c:pt>
                <c:pt idx="97">
                  <c:v>179.60000000000002</c:v>
                </c:pt>
                <c:pt idx="98">
                  <c:v>181.7</c:v>
                </c:pt>
                <c:pt idx="99">
                  <c:v>190.33999999999997</c:v>
                </c:pt>
                <c:pt idx="100">
                  <c:v>194.09000000000003</c:v>
                </c:pt>
                <c:pt idx="101">
                  <c:v>182.07999999999993</c:v>
                </c:pt>
                <c:pt idx="102">
                  <c:v>171.63</c:v>
                </c:pt>
                <c:pt idx="103">
                  <c:v>147.82</c:v>
                </c:pt>
                <c:pt idx="104">
                  <c:v>145.57999999999998</c:v>
                </c:pt>
                <c:pt idx="105">
                  <c:v>152.27000000000004</c:v>
                </c:pt>
                <c:pt idx="106">
                  <c:v>155.59000000000003</c:v>
                </c:pt>
                <c:pt idx="107">
                  <c:v>157.32000000000005</c:v>
                </c:pt>
                <c:pt idx="108">
                  <c:v>158.73000000000002</c:v>
                </c:pt>
                <c:pt idx="109">
                  <c:v>155.98000000000002</c:v>
                </c:pt>
                <c:pt idx="110">
                  <c:v>162.18999999999994</c:v>
                </c:pt>
                <c:pt idx="111">
                  <c:v>167.18000000000006</c:v>
                </c:pt>
                <c:pt idx="112">
                  <c:v>178</c:v>
                </c:pt>
                <c:pt idx="113">
                  <c:v>191.38</c:v>
                </c:pt>
                <c:pt idx="114">
                  <c:v>199.90999999999997</c:v>
                </c:pt>
                <c:pt idx="115">
                  <c:v>201.94000000000005</c:v>
                </c:pt>
                <c:pt idx="116">
                  <c:v>208.57000000000005</c:v>
                </c:pt>
                <c:pt idx="117">
                  <c:v>208.53999999999996</c:v>
                </c:pt>
                <c:pt idx="118">
                  <c:v>215.06999999999994</c:v>
                </c:pt>
                <c:pt idx="119">
                  <c:v>212.66999999999996</c:v>
                </c:pt>
                <c:pt idx="120">
                  <c:v>207.81000000000006</c:v>
                </c:pt>
                <c:pt idx="121">
                  <c:v>219.38</c:v>
                </c:pt>
                <c:pt idx="122">
                  <c:v>242.5100000000001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3D-9F47-982E-147F9D59AF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88389439"/>
        <c:axId val="1392319039"/>
      </c:barChart>
      <c:lineChart>
        <c:grouping val="standard"/>
        <c:varyColors val="0"/>
        <c:ser>
          <c:idx val="1"/>
          <c:order val="1"/>
          <c:tx>
            <c:strRef>
              <c:f>Endeks!$F$1:$F$13</c:f>
              <c:strCache>
                <c:ptCount val="13"/>
                <c:pt idx="0">
                  <c:v>Yıllık % Değişim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Endeks!$A$14:$A$142</c:f>
              <c:numCache>
                <c:formatCode>m/d/yy</c:formatCode>
                <c:ptCount val="129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  <c:pt idx="115">
                  <c:v>45870</c:v>
                </c:pt>
                <c:pt idx="116">
                  <c:v>45901</c:v>
                </c:pt>
                <c:pt idx="117">
                  <c:v>45931</c:v>
                </c:pt>
                <c:pt idx="118">
                  <c:v>45962</c:v>
                </c:pt>
                <c:pt idx="119">
                  <c:v>45992</c:v>
                </c:pt>
                <c:pt idx="120">
                  <c:v>46023</c:v>
                </c:pt>
                <c:pt idx="121">
                  <c:v>46054</c:v>
                </c:pt>
                <c:pt idx="122">
                  <c:v>46082</c:v>
                </c:pt>
              </c:numCache>
            </c:numRef>
          </c:cat>
          <c:val>
            <c:numRef>
              <c:f>Endeks!$F$14:$F$142</c:f>
              <c:numCache>
                <c:formatCode>0.00%</c:formatCode>
                <c:ptCount val="129"/>
                <c:pt idx="0">
                  <c:v>3.6932817446359456E-2</c:v>
                </c:pt>
                <c:pt idx="1">
                  <c:v>2.7078965758210893E-2</c:v>
                </c:pt>
                <c:pt idx="2">
                  <c:v>2.7690700104493038E-2</c:v>
                </c:pt>
                <c:pt idx="3">
                  <c:v>2.5895029544664716E-2</c:v>
                </c:pt>
                <c:pt idx="4">
                  <c:v>2.5720697393405878E-2</c:v>
                </c:pt>
                <c:pt idx="5">
                  <c:v>2.8113142462918184E-2</c:v>
                </c:pt>
                <c:pt idx="6">
                  <c:v>3.7094817126018365E-2</c:v>
                </c:pt>
                <c:pt idx="7">
                  <c:v>3.1940607734806559E-2</c:v>
                </c:pt>
                <c:pt idx="8">
                  <c:v>3.0697993483107533E-2</c:v>
                </c:pt>
                <c:pt idx="9">
                  <c:v>4.2425283407763636E-2</c:v>
                </c:pt>
                <c:pt idx="10">
                  <c:v>4.629629629629628E-2</c:v>
                </c:pt>
                <c:pt idx="11">
                  <c:v>6.4261168384879719E-2</c:v>
                </c:pt>
                <c:pt idx="12">
                  <c:v>6.8521031207598337E-2</c:v>
                </c:pt>
                <c:pt idx="13">
                  <c:v>8.0285762884844347E-2</c:v>
                </c:pt>
                <c:pt idx="14">
                  <c:v>8.1850533807829251E-2</c:v>
                </c:pt>
                <c:pt idx="15">
                  <c:v>8.9784855158393961E-2</c:v>
                </c:pt>
                <c:pt idx="16">
                  <c:v>8.162234937731383E-2</c:v>
                </c:pt>
                <c:pt idx="17">
                  <c:v>7.6329474920315388E-2</c:v>
                </c:pt>
                <c:pt idx="18">
                  <c:v>8.5910078555908376E-2</c:v>
                </c:pt>
                <c:pt idx="19">
                  <c:v>9.4361719926384424E-2</c:v>
                </c:pt>
                <c:pt idx="20">
                  <c:v>9.7670549084858616E-2</c:v>
                </c:pt>
                <c:pt idx="21">
                  <c:v>0.10660734882188172</c:v>
                </c:pt>
                <c:pt idx="22">
                  <c:v>0.12504097017371363</c:v>
                </c:pt>
                <c:pt idx="23">
                  <c:v>0.12076202776880862</c:v>
                </c:pt>
                <c:pt idx="24">
                  <c:v>0.13936507936507936</c:v>
                </c:pt>
                <c:pt idx="25">
                  <c:v>0.14155251141552516</c:v>
                </c:pt>
                <c:pt idx="26">
                  <c:v>0.14943609022556381</c:v>
                </c:pt>
                <c:pt idx="27">
                  <c:v>0.1649308254313695</c:v>
                </c:pt>
                <c:pt idx="28">
                  <c:v>0.17971059592344796</c:v>
                </c:pt>
                <c:pt idx="29">
                  <c:v>0.19482543640897765</c:v>
                </c:pt>
                <c:pt idx="30">
                  <c:v>0.1967061720794212</c:v>
                </c:pt>
                <c:pt idx="31">
                  <c:v>0.23390918819752327</c:v>
                </c:pt>
                <c:pt idx="32">
                  <c:v>0.265575261482492</c:v>
                </c:pt>
                <c:pt idx="33">
                  <c:v>0.27695056581298405</c:v>
                </c:pt>
                <c:pt idx="34">
                  <c:v>0.25025491624180618</c:v>
                </c:pt>
                <c:pt idx="35">
                  <c:v>0.22860847018150388</c:v>
                </c:pt>
                <c:pt idx="36">
                  <c:v>0.21426581220395646</c:v>
                </c:pt>
                <c:pt idx="37">
                  <c:v>0.20813793103448286</c:v>
                </c:pt>
                <c:pt idx="38">
                  <c:v>0.20959389479422197</c:v>
                </c:pt>
                <c:pt idx="39">
                  <c:v>0.19442220443021085</c:v>
                </c:pt>
                <c:pt idx="40">
                  <c:v>0.19862833025586912</c:v>
                </c:pt>
                <c:pt idx="41">
                  <c:v>0.18588572919384294</c:v>
                </c:pt>
                <c:pt idx="42">
                  <c:v>0.17672025723472662</c:v>
                </c:pt>
                <c:pt idx="43">
                  <c:v>0.13517531904348923</c:v>
                </c:pt>
                <c:pt idx="44">
                  <c:v>9.7257156545694112E-2</c:v>
                </c:pt>
                <c:pt idx="45">
                  <c:v>7.789179104477606E-2</c:v>
                </c:pt>
                <c:pt idx="46">
                  <c:v>8.5634393568682299E-2</c:v>
                </c:pt>
                <c:pt idx="47">
                  <c:v>0.10153593621761048</c:v>
                </c:pt>
                <c:pt idx="48">
                  <c:v>8.9375860486461844E-2</c:v>
                </c:pt>
                <c:pt idx="49">
                  <c:v>8.8594588423335896E-2</c:v>
                </c:pt>
                <c:pt idx="50">
                  <c:v>7.8301036502929078E-2</c:v>
                </c:pt>
                <c:pt idx="51">
                  <c:v>8.1666852865601491E-2</c:v>
                </c:pt>
                <c:pt idx="52">
                  <c:v>6.8441901408450745E-2</c:v>
                </c:pt>
                <c:pt idx="53">
                  <c:v>6.7099329006710118E-2</c:v>
                </c:pt>
                <c:pt idx="54">
                  <c:v>6.8204175319707128E-2</c:v>
                </c:pt>
                <c:pt idx="55">
                  <c:v>8.5789129011133003E-2</c:v>
                </c:pt>
                <c:pt idx="56">
                  <c:v>0.10806680493395926</c:v>
                </c:pt>
                <c:pt idx="57">
                  <c:v>0.13479013414106467</c:v>
                </c:pt>
                <c:pt idx="58">
                  <c:v>0.16366172998497541</c:v>
                </c:pt>
                <c:pt idx="59">
                  <c:v>0.18169238956891953</c:v>
                </c:pt>
                <c:pt idx="60">
                  <c:v>0.20031595576619265</c:v>
                </c:pt>
                <c:pt idx="61">
                  <c:v>0.21562663869952803</c:v>
                </c:pt>
                <c:pt idx="62">
                  <c:v>0.22902518023195073</c:v>
                </c:pt>
                <c:pt idx="63">
                  <c:v>0.24209873992976672</c:v>
                </c:pt>
                <c:pt idx="64">
                  <c:v>0.2733264675592173</c:v>
                </c:pt>
                <c:pt idx="65">
                  <c:v>0.32635810741160687</c:v>
                </c:pt>
                <c:pt idx="66">
                  <c:v>0.35649237695692193</c:v>
                </c:pt>
                <c:pt idx="67">
                  <c:v>0.34881383192601523</c:v>
                </c:pt>
                <c:pt idx="68">
                  <c:v>0.34912816471283592</c:v>
                </c:pt>
                <c:pt idx="69">
                  <c:v>0.38093422306959024</c:v>
                </c:pt>
                <c:pt idx="70">
                  <c:v>0.47154846444710863</c:v>
                </c:pt>
                <c:pt idx="71">
                  <c:v>0.64393802918393073</c:v>
                </c:pt>
                <c:pt idx="72">
                  <c:v>0.81354742476090203</c:v>
                </c:pt>
                <c:pt idx="73">
                  <c:v>0.94469847295315335</c:v>
                </c:pt>
                <c:pt idx="74">
                  <c:v>1.1603332483210065</c:v>
                </c:pt>
                <c:pt idx="75">
                  <c:v>1.2683352735739231</c:v>
                </c:pt>
                <c:pt idx="76">
                  <c:v>1.3202038175347783</c:v>
                </c:pt>
                <c:pt idx="77">
                  <c:v>1.407554208440196</c:v>
                </c:pt>
                <c:pt idx="78">
                  <c:v>1.381609715621936</c:v>
                </c:pt>
                <c:pt idx="79">
                  <c:v>1.4073632434043821</c:v>
                </c:pt>
                <c:pt idx="80">
                  <c:v>1.4483388097845933</c:v>
                </c:pt>
                <c:pt idx="81">
                  <c:v>1.3785724147452711</c:v>
                </c:pt>
                <c:pt idx="82">
                  <c:v>1.1909626472800197</c:v>
                </c:pt>
                <c:pt idx="83">
                  <c:v>0.91129253191605941</c:v>
                </c:pt>
                <c:pt idx="84">
                  <c:v>0.73588465818375348</c:v>
                </c:pt>
                <c:pt idx="85">
                  <c:v>0.59593629386451363</c:v>
                </c:pt>
                <c:pt idx="86">
                  <c:v>0.43207933259877218</c:v>
                </c:pt>
                <c:pt idx="87">
                  <c:v>0.33681586568422595</c:v>
                </c:pt>
                <c:pt idx="88">
                  <c:v>0.27458430648028709</c:v>
                </c:pt>
                <c:pt idx="89">
                  <c:v>0.23587707405255354</c:v>
                </c:pt>
                <c:pt idx="90">
                  <c:v>0.30687612833750344</c:v>
                </c:pt>
                <c:pt idx="91">
                  <c:v>0.37629248962912509</c:v>
                </c:pt>
                <c:pt idx="92">
                  <c:v>0.36385326573218002</c:v>
                </c:pt>
                <c:pt idx="93">
                  <c:v>0.35593220338983045</c:v>
                </c:pt>
                <c:pt idx="94">
                  <c:v>0.35186933264681497</c:v>
                </c:pt>
                <c:pt idx="95">
                  <c:v>0.38824069030759967</c:v>
                </c:pt>
                <c:pt idx="96">
                  <c:v>0.45112740042922028</c:v>
                </c:pt>
                <c:pt idx="97">
                  <c:v>0.49924945794184694</c:v>
                </c:pt>
                <c:pt idx="98">
                  <c:v>0.49928555726533297</c:v>
                </c:pt>
                <c:pt idx="99">
                  <c:v>0.52195135327830622</c:v>
                </c:pt>
                <c:pt idx="100">
                  <c:v>0.53082266710425574</c:v>
                </c:pt>
                <c:pt idx="101">
                  <c:v>0.47559096251795729</c:v>
                </c:pt>
                <c:pt idx="102">
                  <c:v>0.41595172313508799</c:v>
                </c:pt>
                <c:pt idx="103">
                  <c:v>0.33250106844816329</c:v>
                </c:pt>
                <c:pt idx="104">
                  <c:v>0.31834681828121569</c:v>
                </c:pt>
                <c:pt idx="105">
                  <c:v>0.32592037671232887</c:v>
                </c:pt>
                <c:pt idx="106">
                  <c:v>0.32922132881929755</c:v>
                </c:pt>
                <c:pt idx="107">
                  <c:v>0.32486680708710214</c:v>
                </c:pt>
                <c:pt idx="108">
                  <c:v>0.30486891385767789</c:v>
                </c:pt>
                <c:pt idx="109">
                  <c:v>0.28920532502688467</c:v>
                </c:pt>
                <c:pt idx="110">
                  <c:v>0.29725816502327618</c:v>
                </c:pt>
                <c:pt idx="111">
                  <c:v>0.30121979784148056</c:v>
                </c:pt>
                <c:pt idx="112">
                  <c:v>0.31801046933342869</c:v>
                </c:pt>
                <c:pt idx="113">
                  <c:v>0.33876763492822115</c:v>
                </c:pt>
                <c:pt idx="114">
                  <c:v>0.34216516902011129</c:v>
                </c:pt>
                <c:pt idx="115">
                  <c:v>0.34089029186853259</c:v>
                </c:pt>
                <c:pt idx="116">
                  <c:v>0.34595607749469215</c:v>
                </c:pt>
                <c:pt idx="117">
                  <c:v>0.33664261384732108</c:v>
                </c:pt>
                <c:pt idx="118">
                  <c:v>0.34236457122844977</c:v>
                </c:pt>
                <c:pt idx="119">
                  <c:v>0.33147853736089017</c:v>
                </c:pt>
                <c:pt idx="120">
                  <c:v>0.30588183343636843</c:v>
                </c:pt>
                <c:pt idx="121">
                  <c:v>0.31550940574124131</c:v>
                </c:pt>
                <c:pt idx="122">
                  <c:v>0.34262019468501448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3D-9F47-982E-147F9D59AF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90303359"/>
        <c:axId val="1390310527"/>
      </c:lineChart>
      <c:dateAx>
        <c:axId val="1488389439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392319039"/>
        <c:crosses val="autoZero"/>
        <c:auto val="1"/>
        <c:lblOffset val="100"/>
        <c:baseTimeUnit val="months"/>
      </c:dateAx>
      <c:valAx>
        <c:axId val="1392319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488389439"/>
        <c:crosses val="autoZero"/>
        <c:crossBetween val="between"/>
      </c:valAx>
      <c:valAx>
        <c:axId val="1390310527"/>
        <c:scaling>
          <c:orientation val="minMax"/>
        </c:scaling>
        <c:delete val="0"/>
        <c:axPos val="r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390303359"/>
        <c:crosses val="max"/>
        <c:crossBetween val="between"/>
      </c:valAx>
      <c:dateAx>
        <c:axId val="1390303359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1390310527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Hareketli Ortalama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Endeks!$G$1:$G$3</c:f>
              <c:strCache>
                <c:ptCount val="3"/>
                <c:pt idx="0">
                  <c:v>3 Aylık Hareketli Ortalama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Endeks!$A$4:$A$142</c:f>
              <c:numCache>
                <c:formatCode>m/d/yy</c:formatCode>
                <c:ptCount val="139"/>
                <c:pt idx="0">
                  <c:v>42064</c:v>
                </c:pt>
                <c:pt idx="1">
                  <c:v>42095</c:v>
                </c:pt>
                <c:pt idx="2">
                  <c:v>42125</c:v>
                </c:pt>
                <c:pt idx="3">
                  <c:v>42156</c:v>
                </c:pt>
                <c:pt idx="4">
                  <c:v>42186</c:v>
                </c:pt>
                <c:pt idx="5">
                  <c:v>42217</c:v>
                </c:pt>
                <c:pt idx="6">
                  <c:v>42248</c:v>
                </c:pt>
                <c:pt idx="7">
                  <c:v>42278</c:v>
                </c:pt>
                <c:pt idx="8">
                  <c:v>42309</c:v>
                </c:pt>
                <c:pt idx="9">
                  <c:v>42339</c:v>
                </c:pt>
                <c:pt idx="10">
                  <c:v>42370</c:v>
                </c:pt>
                <c:pt idx="11">
                  <c:v>42401</c:v>
                </c:pt>
                <c:pt idx="12">
                  <c:v>42430</c:v>
                </c:pt>
                <c:pt idx="13">
                  <c:v>42461</c:v>
                </c:pt>
                <c:pt idx="14">
                  <c:v>42491</c:v>
                </c:pt>
                <c:pt idx="15">
                  <c:v>42522</c:v>
                </c:pt>
                <c:pt idx="16">
                  <c:v>42552</c:v>
                </c:pt>
                <c:pt idx="17">
                  <c:v>42583</c:v>
                </c:pt>
                <c:pt idx="18">
                  <c:v>42614</c:v>
                </c:pt>
                <c:pt idx="19">
                  <c:v>42644</c:v>
                </c:pt>
                <c:pt idx="20">
                  <c:v>42675</c:v>
                </c:pt>
                <c:pt idx="21">
                  <c:v>42705</c:v>
                </c:pt>
                <c:pt idx="22">
                  <c:v>42736</c:v>
                </c:pt>
                <c:pt idx="23">
                  <c:v>42767</c:v>
                </c:pt>
                <c:pt idx="24">
                  <c:v>42795</c:v>
                </c:pt>
                <c:pt idx="25">
                  <c:v>42826</c:v>
                </c:pt>
                <c:pt idx="26">
                  <c:v>42856</c:v>
                </c:pt>
                <c:pt idx="27">
                  <c:v>42887</c:v>
                </c:pt>
                <c:pt idx="28">
                  <c:v>42917</c:v>
                </c:pt>
                <c:pt idx="29">
                  <c:v>42948</c:v>
                </c:pt>
                <c:pt idx="30">
                  <c:v>42979</c:v>
                </c:pt>
                <c:pt idx="31">
                  <c:v>43009</c:v>
                </c:pt>
                <c:pt idx="32">
                  <c:v>43040</c:v>
                </c:pt>
                <c:pt idx="33">
                  <c:v>43070</c:v>
                </c:pt>
                <c:pt idx="34">
                  <c:v>43101</c:v>
                </c:pt>
                <c:pt idx="35">
                  <c:v>43132</c:v>
                </c:pt>
                <c:pt idx="36">
                  <c:v>43160</c:v>
                </c:pt>
                <c:pt idx="37">
                  <c:v>43191</c:v>
                </c:pt>
                <c:pt idx="38">
                  <c:v>43221</c:v>
                </c:pt>
                <c:pt idx="39">
                  <c:v>43252</c:v>
                </c:pt>
                <c:pt idx="40">
                  <c:v>43282</c:v>
                </c:pt>
                <c:pt idx="41">
                  <c:v>43313</c:v>
                </c:pt>
                <c:pt idx="42">
                  <c:v>43344</c:v>
                </c:pt>
                <c:pt idx="43">
                  <c:v>43374</c:v>
                </c:pt>
                <c:pt idx="44">
                  <c:v>43405</c:v>
                </c:pt>
                <c:pt idx="45">
                  <c:v>43435</c:v>
                </c:pt>
                <c:pt idx="46">
                  <c:v>43466</c:v>
                </c:pt>
                <c:pt idx="47">
                  <c:v>43497</c:v>
                </c:pt>
                <c:pt idx="48">
                  <c:v>43525</c:v>
                </c:pt>
                <c:pt idx="49">
                  <c:v>43556</c:v>
                </c:pt>
                <c:pt idx="50">
                  <c:v>43586</c:v>
                </c:pt>
                <c:pt idx="51">
                  <c:v>43617</c:v>
                </c:pt>
                <c:pt idx="52">
                  <c:v>43647</c:v>
                </c:pt>
                <c:pt idx="53">
                  <c:v>43678</c:v>
                </c:pt>
                <c:pt idx="54">
                  <c:v>43709</c:v>
                </c:pt>
                <c:pt idx="55">
                  <c:v>43739</c:v>
                </c:pt>
                <c:pt idx="56">
                  <c:v>43770</c:v>
                </c:pt>
                <c:pt idx="57">
                  <c:v>43800</c:v>
                </c:pt>
                <c:pt idx="58">
                  <c:v>43831</c:v>
                </c:pt>
                <c:pt idx="59">
                  <c:v>43862</c:v>
                </c:pt>
                <c:pt idx="60">
                  <c:v>43891</c:v>
                </c:pt>
                <c:pt idx="61">
                  <c:v>43922</c:v>
                </c:pt>
                <c:pt idx="62">
                  <c:v>43952</c:v>
                </c:pt>
                <c:pt idx="63">
                  <c:v>43983</c:v>
                </c:pt>
                <c:pt idx="64">
                  <c:v>44013</c:v>
                </c:pt>
                <c:pt idx="65">
                  <c:v>44044</c:v>
                </c:pt>
                <c:pt idx="66">
                  <c:v>44075</c:v>
                </c:pt>
                <c:pt idx="67">
                  <c:v>44105</c:v>
                </c:pt>
                <c:pt idx="68">
                  <c:v>44136</c:v>
                </c:pt>
                <c:pt idx="69">
                  <c:v>44166</c:v>
                </c:pt>
                <c:pt idx="70">
                  <c:v>44197</c:v>
                </c:pt>
                <c:pt idx="71">
                  <c:v>44228</c:v>
                </c:pt>
                <c:pt idx="72">
                  <c:v>44256</c:v>
                </c:pt>
                <c:pt idx="73">
                  <c:v>44287</c:v>
                </c:pt>
                <c:pt idx="74">
                  <c:v>44317</c:v>
                </c:pt>
                <c:pt idx="75">
                  <c:v>44348</c:v>
                </c:pt>
                <c:pt idx="76">
                  <c:v>44378</c:v>
                </c:pt>
                <c:pt idx="77">
                  <c:v>44409</c:v>
                </c:pt>
                <c:pt idx="78">
                  <c:v>44440</c:v>
                </c:pt>
                <c:pt idx="79">
                  <c:v>44470</c:v>
                </c:pt>
                <c:pt idx="80">
                  <c:v>44501</c:v>
                </c:pt>
                <c:pt idx="81">
                  <c:v>44531</c:v>
                </c:pt>
                <c:pt idx="82">
                  <c:v>44562</c:v>
                </c:pt>
                <c:pt idx="83">
                  <c:v>44593</c:v>
                </c:pt>
                <c:pt idx="84">
                  <c:v>44621</c:v>
                </c:pt>
                <c:pt idx="85">
                  <c:v>44652</c:v>
                </c:pt>
                <c:pt idx="86">
                  <c:v>44682</c:v>
                </c:pt>
                <c:pt idx="87">
                  <c:v>44713</c:v>
                </c:pt>
                <c:pt idx="88">
                  <c:v>44743</c:v>
                </c:pt>
                <c:pt idx="89">
                  <c:v>44774</c:v>
                </c:pt>
                <c:pt idx="90">
                  <c:v>44805</c:v>
                </c:pt>
                <c:pt idx="91">
                  <c:v>44835</c:v>
                </c:pt>
                <c:pt idx="92">
                  <c:v>44866</c:v>
                </c:pt>
                <c:pt idx="93">
                  <c:v>44896</c:v>
                </c:pt>
                <c:pt idx="94">
                  <c:v>44927</c:v>
                </c:pt>
                <c:pt idx="95">
                  <c:v>44958</c:v>
                </c:pt>
                <c:pt idx="96">
                  <c:v>44986</c:v>
                </c:pt>
                <c:pt idx="97">
                  <c:v>45017</c:v>
                </c:pt>
                <c:pt idx="98">
                  <c:v>45047</c:v>
                </c:pt>
                <c:pt idx="99">
                  <c:v>45078</c:v>
                </c:pt>
                <c:pt idx="100">
                  <c:v>45108</c:v>
                </c:pt>
                <c:pt idx="101">
                  <c:v>45139</c:v>
                </c:pt>
                <c:pt idx="102">
                  <c:v>45170</c:v>
                </c:pt>
                <c:pt idx="103">
                  <c:v>45200</c:v>
                </c:pt>
                <c:pt idx="104">
                  <c:v>45231</c:v>
                </c:pt>
                <c:pt idx="105">
                  <c:v>45261</c:v>
                </c:pt>
                <c:pt idx="106">
                  <c:v>45292</c:v>
                </c:pt>
                <c:pt idx="107">
                  <c:v>45323</c:v>
                </c:pt>
                <c:pt idx="108">
                  <c:v>45352</c:v>
                </c:pt>
                <c:pt idx="109">
                  <c:v>45383</c:v>
                </c:pt>
                <c:pt idx="110">
                  <c:v>45413</c:v>
                </c:pt>
                <c:pt idx="111">
                  <c:v>45444</c:v>
                </c:pt>
                <c:pt idx="112">
                  <c:v>45474</c:v>
                </c:pt>
                <c:pt idx="113">
                  <c:v>45505</c:v>
                </c:pt>
                <c:pt idx="114">
                  <c:v>45536</c:v>
                </c:pt>
                <c:pt idx="115">
                  <c:v>45566</c:v>
                </c:pt>
                <c:pt idx="116">
                  <c:v>45597</c:v>
                </c:pt>
                <c:pt idx="117">
                  <c:v>45627</c:v>
                </c:pt>
                <c:pt idx="118">
                  <c:v>45658</c:v>
                </c:pt>
                <c:pt idx="119">
                  <c:v>45689</c:v>
                </c:pt>
                <c:pt idx="120">
                  <c:v>45717</c:v>
                </c:pt>
                <c:pt idx="121">
                  <c:v>45748</c:v>
                </c:pt>
                <c:pt idx="122">
                  <c:v>45778</c:v>
                </c:pt>
                <c:pt idx="123">
                  <c:v>45809</c:v>
                </c:pt>
                <c:pt idx="124">
                  <c:v>45839</c:v>
                </c:pt>
                <c:pt idx="125">
                  <c:v>45870</c:v>
                </c:pt>
                <c:pt idx="126">
                  <c:v>45901</c:v>
                </c:pt>
                <c:pt idx="127">
                  <c:v>45931</c:v>
                </c:pt>
                <c:pt idx="128">
                  <c:v>45962</c:v>
                </c:pt>
                <c:pt idx="129">
                  <c:v>45992</c:v>
                </c:pt>
                <c:pt idx="130">
                  <c:v>46023</c:v>
                </c:pt>
                <c:pt idx="131">
                  <c:v>46054</c:v>
                </c:pt>
                <c:pt idx="132">
                  <c:v>46082</c:v>
                </c:pt>
              </c:numCache>
            </c:numRef>
          </c:cat>
          <c:val>
            <c:numRef>
              <c:f>Endeks!$G$4:$G$142</c:f>
              <c:numCache>
                <c:formatCode>#,##0.00</c:formatCode>
                <c:ptCount val="139"/>
                <c:pt idx="0">
                  <c:v>57.173333333333325</c:v>
                </c:pt>
                <c:pt idx="1">
                  <c:v>57.4</c:v>
                </c:pt>
                <c:pt idx="2">
                  <c:v>57.63</c:v>
                </c:pt>
                <c:pt idx="3">
                  <c:v>57.816666666666663</c:v>
                </c:pt>
                <c:pt idx="4">
                  <c:v>57.866666666666667</c:v>
                </c:pt>
                <c:pt idx="5">
                  <c:v>57.863333333333323</c:v>
                </c:pt>
                <c:pt idx="6">
                  <c:v>57.973333333333336</c:v>
                </c:pt>
                <c:pt idx="7">
                  <c:v>58.15</c:v>
                </c:pt>
                <c:pt idx="8">
                  <c:v>58.283333333333331</c:v>
                </c:pt>
                <c:pt idx="9">
                  <c:v>58.24666666666667</c:v>
                </c:pt>
                <c:pt idx="10">
                  <c:v>58.493333333333339</c:v>
                </c:pt>
                <c:pt idx="11">
                  <c:v>58.65</c:v>
                </c:pt>
                <c:pt idx="12">
                  <c:v>58.919999999999995</c:v>
                </c:pt>
                <c:pt idx="13">
                  <c:v>58.943333333333328</c:v>
                </c:pt>
                <c:pt idx="14">
                  <c:v>59.153333333333329</c:v>
                </c:pt>
                <c:pt idx="15">
                  <c:v>59.353333333333332</c:v>
                </c:pt>
                <c:pt idx="16">
                  <c:v>59.620000000000005</c:v>
                </c:pt>
                <c:pt idx="17">
                  <c:v>59.736666666666672</c:v>
                </c:pt>
                <c:pt idx="18">
                  <c:v>59.9</c:v>
                </c:pt>
                <c:pt idx="19">
                  <c:v>60.186666666666667</c:v>
                </c:pt>
                <c:pt idx="20">
                  <c:v>60.603333333333332</c:v>
                </c:pt>
                <c:pt idx="21">
                  <c:v>61.216666666666669</c:v>
                </c:pt>
                <c:pt idx="22">
                  <c:v>61.986666666666672</c:v>
                </c:pt>
                <c:pt idx="23">
                  <c:v>62.816666666666663</c:v>
                </c:pt>
                <c:pt idx="24">
                  <c:v>63.449999999999996</c:v>
                </c:pt>
                <c:pt idx="25">
                  <c:v>63.893333333333338</c:v>
                </c:pt>
                <c:pt idx="26">
                  <c:v>64.146666666666661</c:v>
                </c:pt>
                <c:pt idx="27">
                  <c:v>64.25333333333333</c:v>
                </c:pt>
                <c:pt idx="28">
                  <c:v>64.466666666666669</c:v>
                </c:pt>
                <c:pt idx="29">
                  <c:v>64.846666666666664</c:v>
                </c:pt>
                <c:pt idx="30">
                  <c:v>65.45</c:v>
                </c:pt>
                <c:pt idx="31">
                  <c:v>66.179999999999993</c:v>
                </c:pt>
                <c:pt idx="32">
                  <c:v>67.260000000000005</c:v>
                </c:pt>
                <c:pt idx="33">
                  <c:v>68.410000000000011</c:v>
                </c:pt>
                <c:pt idx="34">
                  <c:v>69.95</c:v>
                </c:pt>
                <c:pt idx="35">
                  <c:v>71.233333333333334</c:v>
                </c:pt>
                <c:pt idx="36">
                  <c:v>72.553333333333327</c:v>
                </c:pt>
                <c:pt idx="37">
                  <c:v>73.606666666666669</c:v>
                </c:pt>
                <c:pt idx="38">
                  <c:v>74.713333333333324</c:v>
                </c:pt>
                <c:pt idx="39">
                  <c:v>75.806666666666658</c:v>
                </c:pt>
                <c:pt idx="40">
                  <c:v>76.743333333333325</c:v>
                </c:pt>
                <c:pt idx="41">
                  <c:v>78.373333333333335</c:v>
                </c:pt>
                <c:pt idx="42">
                  <c:v>80.649999999999991</c:v>
                </c:pt>
                <c:pt idx="43">
                  <c:v>83.32</c:v>
                </c:pt>
                <c:pt idx="44">
                  <c:v>85.026666666666657</c:v>
                </c:pt>
                <c:pt idx="45">
                  <c:v>85.626666666666665</c:v>
                </c:pt>
                <c:pt idx="46">
                  <c:v>86.09333333333332</c:v>
                </c:pt>
                <c:pt idx="47">
                  <c:v>86.679999999999993</c:v>
                </c:pt>
                <c:pt idx="48">
                  <c:v>87.836666666666659</c:v>
                </c:pt>
                <c:pt idx="49">
                  <c:v>88.62</c:v>
                </c:pt>
                <c:pt idx="50">
                  <c:v>89.716666666666654</c:v>
                </c:pt>
                <c:pt idx="51">
                  <c:v>90.433333333333323</c:v>
                </c:pt>
                <c:pt idx="52">
                  <c:v>91.09333333333332</c:v>
                </c:pt>
                <c:pt idx="53">
                  <c:v>91.339999999999989</c:v>
                </c:pt>
                <c:pt idx="54">
                  <c:v>91.573333333333338</c:v>
                </c:pt>
                <c:pt idx="55">
                  <c:v>91.89</c:v>
                </c:pt>
                <c:pt idx="56">
                  <c:v>92.410000000000011</c:v>
                </c:pt>
                <c:pt idx="57">
                  <c:v>93.19</c:v>
                </c:pt>
                <c:pt idx="58">
                  <c:v>94.026666666666657</c:v>
                </c:pt>
                <c:pt idx="59">
                  <c:v>94.75</c:v>
                </c:pt>
                <c:pt idx="60">
                  <c:v>95.336666666666659</c:v>
                </c:pt>
                <c:pt idx="61">
                  <c:v>95.96</c:v>
                </c:pt>
                <c:pt idx="62">
                  <c:v>96.543333333333337</c:v>
                </c:pt>
                <c:pt idx="63">
                  <c:v>96.976666666666674</c:v>
                </c:pt>
                <c:pt idx="64">
                  <c:v>97.280000000000015</c:v>
                </c:pt>
                <c:pt idx="65">
                  <c:v>98.073333333333338</c:v>
                </c:pt>
                <c:pt idx="66">
                  <c:v>99.573333333333338</c:v>
                </c:pt>
                <c:pt idx="67">
                  <c:v>101.96333333333332</c:v>
                </c:pt>
                <c:pt idx="68">
                  <c:v>104.94666666666667</c:v>
                </c:pt>
                <c:pt idx="69">
                  <c:v>108.11666666666667</c:v>
                </c:pt>
                <c:pt idx="70">
                  <c:v>111.13999999999999</c:v>
                </c:pt>
                <c:pt idx="71">
                  <c:v>113.63333333333333</c:v>
                </c:pt>
                <c:pt idx="72">
                  <c:v>115.83666666666666</c:v>
                </c:pt>
                <c:pt idx="73">
                  <c:v>117.93333333333334</c:v>
                </c:pt>
                <c:pt idx="74">
                  <c:v>120.50999999999999</c:v>
                </c:pt>
                <c:pt idx="75">
                  <c:v>124.19</c:v>
                </c:pt>
                <c:pt idx="76">
                  <c:v>128.29333333333332</c:v>
                </c:pt>
                <c:pt idx="77">
                  <c:v>131.80666666666667</c:v>
                </c:pt>
                <c:pt idx="78">
                  <c:v>134.56666666666666</c:v>
                </c:pt>
                <c:pt idx="79">
                  <c:v>138.66333333333333</c:v>
                </c:pt>
                <c:pt idx="80">
                  <c:v>147.12333333333333</c:v>
                </c:pt>
                <c:pt idx="81">
                  <c:v>162.31</c:v>
                </c:pt>
                <c:pt idx="82">
                  <c:v>182.92</c:v>
                </c:pt>
                <c:pt idx="83">
                  <c:v>204.87</c:v>
                </c:pt>
                <c:pt idx="84">
                  <c:v>228.74</c:v>
                </c:pt>
                <c:pt idx="85">
                  <c:v>250.77333333333331</c:v>
                </c:pt>
                <c:pt idx="86">
                  <c:v>271.26000000000005</c:v>
                </c:pt>
                <c:pt idx="87">
                  <c:v>289.81333333333333</c:v>
                </c:pt>
                <c:pt idx="88">
                  <c:v>304.12666666666667</c:v>
                </c:pt>
                <c:pt idx="89">
                  <c:v>316.17666666666668</c:v>
                </c:pt>
                <c:pt idx="90">
                  <c:v>324.68333333333334</c:v>
                </c:pt>
                <c:pt idx="91">
                  <c:v>334.29333333333329</c:v>
                </c:pt>
                <c:pt idx="92">
                  <c:v>343.15000000000003</c:v>
                </c:pt>
                <c:pt idx="93">
                  <c:v>347.66</c:v>
                </c:pt>
                <c:pt idx="94">
                  <c:v>352.40333333333336</c:v>
                </c:pt>
                <c:pt idx="95">
                  <c:v>355.78666666666669</c:v>
                </c:pt>
                <c:pt idx="96">
                  <c:v>360.81666666666666</c:v>
                </c:pt>
                <c:pt idx="97">
                  <c:v>362.7766666666667</c:v>
                </c:pt>
                <c:pt idx="98">
                  <c:v>364.74333333333334</c:v>
                </c:pt>
                <c:pt idx="99">
                  <c:v>371.05333333333328</c:v>
                </c:pt>
                <c:pt idx="100">
                  <c:v>387.03666666666669</c:v>
                </c:pt>
                <c:pt idx="101">
                  <c:v>413.34666666666664</c:v>
                </c:pt>
                <c:pt idx="102">
                  <c:v>438.16333333333336</c:v>
                </c:pt>
                <c:pt idx="103">
                  <c:v>456.35666666666663</c:v>
                </c:pt>
                <c:pt idx="104">
                  <c:v>465.7</c:v>
                </c:pt>
                <c:pt idx="105">
                  <c:v>474.68666666666667</c:v>
                </c:pt>
                <c:pt idx="106">
                  <c:v>492.50333333333333</c:v>
                </c:pt>
                <c:pt idx="107">
                  <c:v>514.75</c:v>
                </c:pt>
                <c:pt idx="108">
                  <c:v>535.20333333333338</c:v>
                </c:pt>
                <c:pt idx="109">
                  <c:v>546.65666666666664</c:v>
                </c:pt>
                <c:pt idx="110">
                  <c:v>553.45333333333338</c:v>
                </c:pt>
                <c:pt idx="111">
                  <c:v>559.89</c:v>
                </c:pt>
                <c:pt idx="112">
                  <c:v>569.63666666666666</c:v>
                </c:pt>
                <c:pt idx="113">
                  <c:v>580.5233333333332</c:v>
                </c:pt>
                <c:pt idx="114">
                  <c:v>593.17333333333329</c:v>
                </c:pt>
                <c:pt idx="115">
                  <c:v>604.9133333333333</c:v>
                </c:pt>
                <c:pt idx="116">
                  <c:v>616.84666666666669</c:v>
                </c:pt>
                <c:pt idx="117">
                  <c:v>629.74666666666678</c:v>
                </c:pt>
                <c:pt idx="118">
                  <c:v>649.7166666666667</c:v>
                </c:pt>
                <c:pt idx="119">
                  <c:v>672.09333333333336</c:v>
                </c:pt>
                <c:pt idx="120">
                  <c:v>694.17000000000007</c:v>
                </c:pt>
                <c:pt idx="121">
                  <c:v>708.44</c:v>
                </c:pt>
                <c:pt idx="122">
                  <c:v>722.57666666666671</c:v>
                </c:pt>
                <c:pt idx="123">
                  <c:v>738.74333333333334</c:v>
                </c:pt>
                <c:pt idx="124">
                  <c:v>759.4</c:v>
                </c:pt>
                <c:pt idx="125">
                  <c:v>778.26666666666654</c:v>
                </c:pt>
                <c:pt idx="126">
                  <c:v>796.64666666666665</c:v>
                </c:pt>
                <c:pt idx="127">
                  <c:v>811.26333333333332</c:v>
                </c:pt>
                <c:pt idx="128">
                  <c:v>827.57333333333338</c:v>
                </c:pt>
                <c:pt idx="129">
                  <c:v>841.84</c:v>
                </c:pt>
                <c:pt idx="130">
                  <c:v>861.56666666666661</c:v>
                </c:pt>
                <c:pt idx="131">
                  <c:v>885.38000000000011</c:v>
                </c:pt>
                <c:pt idx="132">
                  <c:v>917.40333333333331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62-4A4F-9CEC-F7229D8CE51D}"/>
            </c:ext>
          </c:extLst>
        </c:ser>
        <c:ser>
          <c:idx val="1"/>
          <c:order val="1"/>
          <c:tx>
            <c:strRef>
              <c:f>Endeks!$H$1:$H$3</c:f>
              <c:strCache>
                <c:ptCount val="3"/>
                <c:pt idx="0">
                  <c:v>6 Aylık Hareketli Ortalama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Endeks!$A$4:$A$142</c:f>
              <c:numCache>
                <c:formatCode>m/d/yy</c:formatCode>
                <c:ptCount val="139"/>
                <c:pt idx="0">
                  <c:v>42064</c:v>
                </c:pt>
                <c:pt idx="1">
                  <c:v>42095</c:v>
                </c:pt>
                <c:pt idx="2">
                  <c:v>42125</c:v>
                </c:pt>
                <c:pt idx="3">
                  <c:v>42156</c:v>
                </c:pt>
                <c:pt idx="4">
                  <c:v>42186</c:v>
                </c:pt>
                <c:pt idx="5">
                  <c:v>42217</c:v>
                </c:pt>
                <c:pt idx="6">
                  <c:v>42248</c:v>
                </c:pt>
                <c:pt idx="7">
                  <c:v>42278</c:v>
                </c:pt>
                <c:pt idx="8">
                  <c:v>42309</c:v>
                </c:pt>
                <c:pt idx="9">
                  <c:v>42339</c:v>
                </c:pt>
                <c:pt idx="10">
                  <c:v>42370</c:v>
                </c:pt>
                <c:pt idx="11">
                  <c:v>42401</c:v>
                </c:pt>
                <c:pt idx="12">
                  <c:v>42430</c:v>
                </c:pt>
                <c:pt idx="13">
                  <c:v>42461</c:v>
                </c:pt>
                <c:pt idx="14">
                  <c:v>42491</c:v>
                </c:pt>
                <c:pt idx="15">
                  <c:v>42522</c:v>
                </c:pt>
                <c:pt idx="16">
                  <c:v>42552</c:v>
                </c:pt>
                <c:pt idx="17">
                  <c:v>42583</c:v>
                </c:pt>
                <c:pt idx="18">
                  <c:v>42614</c:v>
                </c:pt>
                <c:pt idx="19">
                  <c:v>42644</c:v>
                </c:pt>
                <c:pt idx="20">
                  <c:v>42675</c:v>
                </c:pt>
                <c:pt idx="21">
                  <c:v>42705</c:v>
                </c:pt>
                <c:pt idx="22">
                  <c:v>42736</c:v>
                </c:pt>
                <c:pt idx="23">
                  <c:v>42767</c:v>
                </c:pt>
                <c:pt idx="24">
                  <c:v>42795</c:v>
                </c:pt>
                <c:pt idx="25">
                  <c:v>42826</c:v>
                </c:pt>
                <c:pt idx="26">
                  <c:v>42856</c:v>
                </c:pt>
                <c:pt idx="27">
                  <c:v>42887</c:v>
                </c:pt>
                <c:pt idx="28">
                  <c:v>42917</c:v>
                </c:pt>
                <c:pt idx="29">
                  <c:v>42948</c:v>
                </c:pt>
                <c:pt idx="30">
                  <c:v>42979</c:v>
                </c:pt>
                <c:pt idx="31">
                  <c:v>43009</c:v>
                </c:pt>
                <c:pt idx="32">
                  <c:v>43040</c:v>
                </c:pt>
                <c:pt idx="33">
                  <c:v>43070</c:v>
                </c:pt>
                <c:pt idx="34">
                  <c:v>43101</c:v>
                </c:pt>
                <c:pt idx="35">
                  <c:v>43132</c:v>
                </c:pt>
                <c:pt idx="36">
                  <c:v>43160</c:v>
                </c:pt>
                <c:pt idx="37">
                  <c:v>43191</c:v>
                </c:pt>
                <c:pt idx="38">
                  <c:v>43221</c:v>
                </c:pt>
                <c:pt idx="39">
                  <c:v>43252</c:v>
                </c:pt>
                <c:pt idx="40">
                  <c:v>43282</c:v>
                </c:pt>
                <c:pt idx="41">
                  <c:v>43313</c:v>
                </c:pt>
                <c:pt idx="42">
                  <c:v>43344</c:v>
                </c:pt>
                <c:pt idx="43">
                  <c:v>43374</c:v>
                </c:pt>
                <c:pt idx="44">
                  <c:v>43405</c:v>
                </c:pt>
                <c:pt idx="45">
                  <c:v>43435</c:v>
                </c:pt>
                <c:pt idx="46">
                  <c:v>43466</c:v>
                </c:pt>
                <c:pt idx="47">
                  <c:v>43497</c:v>
                </c:pt>
                <c:pt idx="48">
                  <c:v>43525</c:v>
                </c:pt>
                <c:pt idx="49">
                  <c:v>43556</c:v>
                </c:pt>
                <c:pt idx="50">
                  <c:v>43586</c:v>
                </c:pt>
                <c:pt idx="51">
                  <c:v>43617</c:v>
                </c:pt>
                <c:pt idx="52">
                  <c:v>43647</c:v>
                </c:pt>
                <c:pt idx="53">
                  <c:v>43678</c:v>
                </c:pt>
                <c:pt idx="54">
                  <c:v>43709</c:v>
                </c:pt>
                <c:pt idx="55">
                  <c:v>43739</c:v>
                </c:pt>
                <c:pt idx="56">
                  <c:v>43770</c:v>
                </c:pt>
                <c:pt idx="57">
                  <c:v>43800</c:v>
                </c:pt>
                <c:pt idx="58">
                  <c:v>43831</c:v>
                </c:pt>
                <c:pt idx="59">
                  <c:v>43862</c:v>
                </c:pt>
                <c:pt idx="60">
                  <c:v>43891</c:v>
                </c:pt>
                <c:pt idx="61">
                  <c:v>43922</c:v>
                </c:pt>
                <c:pt idx="62">
                  <c:v>43952</c:v>
                </c:pt>
                <c:pt idx="63">
                  <c:v>43983</c:v>
                </c:pt>
                <c:pt idx="64">
                  <c:v>44013</c:v>
                </c:pt>
                <c:pt idx="65">
                  <c:v>44044</c:v>
                </c:pt>
                <c:pt idx="66">
                  <c:v>44075</c:v>
                </c:pt>
                <c:pt idx="67">
                  <c:v>44105</c:v>
                </c:pt>
                <c:pt idx="68">
                  <c:v>44136</c:v>
                </c:pt>
                <c:pt idx="69">
                  <c:v>44166</c:v>
                </c:pt>
                <c:pt idx="70">
                  <c:v>44197</c:v>
                </c:pt>
                <c:pt idx="71">
                  <c:v>44228</c:v>
                </c:pt>
                <c:pt idx="72">
                  <c:v>44256</c:v>
                </c:pt>
                <c:pt idx="73">
                  <c:v>44287</c:v>
                </c:pt>
                <c:pt idx="74">
                  <c:v>44317</c:v>
                </c:pt>
                <c:pt idx="75">
                  <c:v>44348</c:v>
                </c:pt>
                <c:pt idx="76">
                  <c:v>44378</c:v>
                </c:pt>
                <c:pt idx="77">
                  <c:v>44409</c:v>
                </c:pt>
                <c:pt idx="78">
                  <c:v>44440</c:v>
                </c:pt>
                <c:pt idx="79">
                  <c:v>44470</c:v>
                </c:pt>
                <c:pt idx="80">
                  <c:v>44501</c:v>
                </c:pt>
                <c:pt idx="81">
                  <c:v>44531</c:v>
                </c:pt>
                <c:pt idx="82">
                  <c:v>44562</c:v>
                </c:pt>
                <c:pt idx="83">
                  <c:v>44593</c:v>
                </c:pt>
                <c:pt idx="84">
                  <c:v>44621</c:v>
                </c:pt>
                <c:pt idx="85">
                  <c:v>44652</c:v>
                </c:pt>
                <c:pt idx="86">
                  <c:v>44682</c:v>
                </c:pt>
                <c:pt idx="87">
                  <c:v>44713</c:v>
                </c:pt>
                <c:pt idx="88">
                  <c:v>44743</c:v>
                </c:pt>
                <c:pt idx="89">
                  <c:v>44774</c:v>
                </c:pt>
                <c:pt idx="90">
                  <c:v>44805</c:v>
                </c:pt>
                <c:pt idx="91">
                  <c:v>44835</c:v>
                </c:pt>
                <c:pt idx="92">
                  <c:v>44866</c:v>
                </c:pt>
                <c:pt idx="93">
                  <c:v>44896</c:v>
                </c:pt>
                <c:pt idx="94">
                  <c:v>44927</c:v>
                </c:pt>
                <c:pt idx="95">
                  <c:v>44958</c:v>
                </c:pt>
                <c:pt idx="96">
                  <c:v>44986</c:v>
                </c:pt>
                <c:pt idx="97">
                  <c:v>45017</c:v>
                </c:pt>
                <c:pt idx="98">
                  <c:v>45047</c:v>
                </c:pt>
                <c:pt idx="99">
                  <c:v>45078</c:v>
                </c:pt>
                <c:pt idx="100">
                  <c:v>45108</c:v>
                </c:pt>
                <c:pt idx="101">
                  <c:v>45139</c:v>
                </c:pt>
                <c:pt idx="102">
                  <c:v>45170</c:v>
                </c:pt>
                <c:pt idx="103">
                  <c:v>45200</c:v>
                </c:pt>
                <c:pt idx="104">
                  <c:v>45231</c:v>
                </c:pt>
                <c:pt idx="105">
                  <c:v>45261</c:v>
                </c:pt>
                <c:pt idx="106">
                  <c:v>45292</c:v>
                </c:pt>
                <c:pt idx="107">
                  <c:v>45323</c:v>
                </c:pt>
                <c:pt idx="108">
                  <c:v>45352</c:v>
                </c:pt>
                <c:pt idx="109">
                  <c:v>45383</c:v>
                </c:pt>
                <c:pt idx="110">
                  <c:v>45413</c:v>
                </c:pt>
                <c:pt idx="111">
                  <c:v>45444</c:v>
                </c:pt>
                <c:pt idx="112">
                  <c:v>45474</c:v>
                </c:pt>
                <c:pt idx="113">
                  <c:v>45505</c:v>
                </c:pt>
                <c:pt idx="114">
                  <c:v>45536</c:v>
                </c:pt>
                <c:pt idx="115">
                  <c:v>45566</c:v>
                </c:pt>
                <c:pt idx="116">
                  <c:v>45597</c:v>
                </c:pt>
                <c:pt idx="117">
                  <c:v>45627</c:v>
                </c:pt>
                <c:pt idx="118">
                  <c:v>45658</c:v>
                </c:pt>
                <c:pt idx="119">
                  <c:v>45689</c:v>
                </c:pt>
                <c:pt idx="120">
                  <c:v>45717</c:v>
                </c:pt>
                <c:pt idx="121">
                  <c:v>45748</c:v>
                </c:pt>
                <c:pt idx="122">
                  <c:v>45778</c:v>
                </c:pt>
                <c:pt idx="123">
                  <c:v>45809</c:v>
                </c:pt>
                <c:pt idx="124">
                  <c:v>45839</c:v>
                </c:pt>
                <c:pt idx="125">
                  <c:v>45870</c:v>
                </c:pt>
                <c:pt idx="126">
                  <c:v>45901</c:v>
                </c:pt>
                <c:pt idx="127">
                  <c:v>45931</c:v>
                </c:pt>
                <c:pt idx="128">
                  <c:v>45962</c:v>
                </c:pt>
                <c:pt idx="129">
                  <c:v>45992</c:v>
                </c:pt>
                <c:pt idx="130">
                  <c:v>46023</c:v>
                </c:pt>
                <c:pt idx="131">
                  <c:v>46054</c:v>
                </c:pt>
                <c:pt idx="132">
                  <c:v>46082</c:v>
                </c:pt>
              </c:numCache>
            </c:numRef>
          </c:cat>
          <c:val>
            <c:numRef>
              <c:f>Endeks!$H$4:$H$142</c:f>
              <c:numCache>
                <c:formatCode>General</c:formatCode>
                <c:ptCount val="139"/>
                <c:pt idx="3" formatCode="#,##0.00">
                  <c:v>57.494999999999997</c:v>
                </c:pt>
                <c:pt idx="4" formatCode="#,##0.00">
                  <c:v>57.633333333333333</c:v>
                </c:pt>
                <c:pt idx="5" formatCode="#,##0.00">
                  <c:v>57.74666666666667</c:v>
                </c:pt>
                <c:pt idx="6" formatCode="#,##0.00">
                  <c:v>57.895000000000003</c:v>
                </c:pt>
                <c:pt idx="7" formatCode="#,##0.00">
                  <c:v>58.008333333333326</c:v>
                </c:pt>
                <c:pt idx="8" formatCode="#,##0.00">
                  <c:v>58.073333333333331</c:v>
                </c:pt>
                <c:pt idx="9" formatCode="#,##0.00">
                  <c:v>58.110000000000007</c:v>
                </c:pt>
                <c:pt idx="10" formatCode="#,##0.00">
                  <c:v>58.321666666666658</c:v>
                </c:pt>
                <c:pt idx="11" formatCode="#,##0.00">
                  <c:v>58.466666666666669</c:v>
                </c:pt>
                <c:pt idx="12" formatCode="#,##0.00">
                  <c:v>58.583333333333336</c:v>
                </c:pt>
                <c:pt idx="13" formatCode="#,##0.00">
                  <c:v>58.718333333333341</c:v>
                </c:pt>
                <c:pt idx="14" formatCode="#,##0.00">
                  <c:v>58.901666666666671</c:v>
                </c:pt>
                <c:pt idx="15" formatCode="#,##0.00">
                  <c:v>59.136666666666663</c:v>
                </c:pt>
                <c:pt idx="16" formatCode="#,##0.00">
                  <c:v>59.281666666666666</c:v>
                </c:pt>
                <c:pt idx="17" formatCode="#,##0.00">
                  <c:v>59.444999999999993</c:v>
                </c:pt>
                <c:pt idx="18" formatCode="#,##0.00">
                  <c:v>59.626666666666665</c:v>
                </c:pt>
                <c:pt idx="19" formatCode="#,##0.00">
                  <c:v>59.903333333333336</c:v>
                </c:pt>
                <c:pt idx="20" formatCode="#,##0.00">
                  <c:v>60.169999999999995</c:v>
                </c:pt>
                <c:pt idx="21" formatCode="#,##0.00">
                  <c:v>60.55833333333333</c:v>
                </c:pt>
                <c:pt idx="22" formatCode="#,##0.00">
                  <c:v>61.086666666666666</c:v>
                </c:pt>
                <c:pt idx="23" formatCode="#,##0.00">
                  <c:v>61.71</c:v>
                </c:pt>
                <c:pt idx="24" formatCode="#,##0.00">
                  <c:v>62.333333333333336</c:v>
                </c:pt>
                <c:pt idx="25" formatCode="#,##0.00">
                  <c:v>62.94</c:v>
                </c:pt>
                <c:pt idx="26" formatCode="#,##0.00">
                  <c:v>63.481666666666662</c:v>
                </c:pt>
                <c:pt idx="27" formatCode="#,##0.00">
                  <c:v>63.851666666666667</c:v>
                </c:pt>
                <c:pt idx="28" formatCode="#,##0.00">
                  <c:v>64.180000000000007</c:v>
                </c:pt>
                <c:pt idx="29" formatCode="#,##0.00">
                  <c:v>64.49666666666667</c:v>
                </c:pt>
                <c:pt idx="30" formatCode="#,##0.00">
                  <c:v>64.851666666666674</c:v>
                </c:pt>
                <c:pt idx="31" formatCode="#,##0.00">
                  <c:v>65.323333333333323</c:v>
                </c:pt>
                <c:pt idx="32" formatCode="#,##0.00">
                  <c:v>66.053333333333327</c:v>
                </c:pt>
                <c:pt idx="33" formatCode="#,##0.00">
                  <c:v>66.929999999999993</c:v>
                </c:pt>
                <c:pt idx="34" formatCode="#,##0.00">
                  <c:v>68.064999999999998</c:v>
                </c:pt>
                <c:pt idx="35" formatCode="#,##0.00">
                  <c:v>69.24666666666667</c:v>
                </c:pt>
                <c:pt idx="36" formatCode="#,##0.00">
                  <c:v>70.481666666666669</c:v>
                </c:pt>
                <c:pt idx="37" formatCode="#,##0.00">
                  <c:v>71.778333333333336</c:v>
                </c:pt>
                <c:pt idx="38" formatCode="#,##0.00">
                  <c:v>72.973333333333329</c:v>
                </c:pt>
                <c:pt idx="39" formatCode="#,##0.00">
                  <c:v>74.180000000000007</c:v>
                </c:pt>
                <c:pt idx="40" formatCode="#,##0.00">
                  <c:v>75.174999999999997</c:v>
                </c:pt>
                <c:pt idx="41" formatCode="#,##0.00">
                  <c:v>76.543333333333322</c:v>
                </c:pt>
                <c:pt idx="42" formatCode="#,##0.00">
                  <c:v>78.228333333333325</c:v>
                </c:pt>
                <c:pt idx="43" formatCode="#,##0.00">
                  <c:v>80.031666666666666</c:v>
                </c:pt>
                <c:pt idx="44" formatCode="#,##0.00">
                  <c:v>81.7</c:v>
                </c:pt>
                <c:pt idx="45" formatCode="#,##0.00">
                  <c:v>83.138333333333335</c:v>
                </c:pt>
                <c:pt idx="46" formatCode="#,##0.00">
                  <c:v>84.706666666666663</c:v>
                </c:pt>
                <c:pt idx="47" formatCode="#,##0.00">
                  <c:v>85.853333333333339</c:v>
                </c:pt>
                <c:pt idx="48" formatCode="#,##0.00">
                  <c:v>86.731666666666669</c:v>
                </c:pt>
                <c:pt idx="49" formatCode="#,##0.00">
                  <c:v>87.356666666666669</c:v>
                </c:pt>
                <c:pt idx="50" formatCode="#,##0.00">
                  <c:v>88.198333333333323</c:v>
                </c:pt>
                <c:pt idx="51" formatCode="#,##0.00">
                  <c:v>89.134999999999991</c:v>
                </c:pt>
                <c:pt idx="52" formatCode="#,##0.00">
                  <c:v>89.856666666666669</c:v>
                </c:pt>
                <c:pt idx="53" formatCode="#,##0.00">
                  <c:v>90.528333333333322</c:v>
                </c:pt>
                <c:pt idx="54" formatCode="#,##0.00">
                  <c:v>91.00333333333333</c:v>
                </c:pt>
                <c:pt idx="55" formatCode="#,##0.00">
                  <c:v>91.491666666666674</c:v>
                </c:pt>
                <c:pt idx="56" formatCode="#,##0.00">
                  <c:v>91.875</c:v>
                </c:pt>
                <c:pt idx="57" formatCode="#,##0.00">
                  <c:v>92.381666666666675</c:v>
                </c:pt>
                <c:pt idx="58" formatCode="#,##0.00">
                  <c:v>92.958333333333329</c:v>
                </c:pt>
                <c:pt idx="59" formatCode="#,##0.00">
                  <c:v>93.58</c:v>
                </c:pt>
                <c:pt idx="60" formatCode="#,##0.00">
                  <c:v>94.263333333333335</c:v>
                </c:pt>
                <c:pt idx="61" formatCode="#,##0.00">
                  <c:v>94.993333333333325</c:v>
                </c:pt>
                <c:pt idx="62" formatCode="#,##0.00">
                  <c:v>95.646666666666661</c:v>
                </c:pt>
                <c:pt idx="63" formatCode="#,##0.00">
                  <c:v>96.156666666666652</c:v>
                </c:pt>
                <c:pt idx="64" formatCode="#,##0.00">
                  <c:v>96.62</c:v>
                </c:pt>
                <c:pt idx="65" formatCode="#,##0.00">
                  <c:v>97.308333333333337</c:v>
                </c:pt>
                <c:pt idx="66" formatCode="#,##0.00">
                  <c:v>98.27500000000002</c:v>
                </c:pt>
                <c:pt idx="67" formatCode="#,##0.00">
                  <c:v>99.62166666666667</c:v>
                </c:pt>
                <c:pt idx="68" formatCode="#,##0.00">
                  <c:v>101.50999999999999</c:v>
                </c:pt>
                <c:pt idx="69" formatCode="#,##0.00">
                  <c:v>103.84499999999998</c:v>
                </c:pt>
                <c:pt idx="70" formatCode="#,##0.00">
                  <c:v>106.55166666666668</c:v>
                </c:pt>
                <c:pt idx="71" formatCode="#,##0.00">
                  <c:v>109.29</c:v>
                </c:pt>
                <c:pt idx="72" formatCode="#,##0.00">
                  <c:v>111.97666666666667</c:v>
                </c:pt>
                <c:pt idx="73" formatCode="#,##0.00">
                  <c:v>114.53666666666665</c:v>
                </c:pt>
                <c:pt idx="74" formatCode="#,##0.00">
                  <c:v>117.07166666666666</c:v>
                </c:pt>
                <c:pt idx="75" formatCode="#,##0.00">
                  <c:v>120.01333333333332</c:v>
                </c:pt>
                <c:pt idx="76" formatCode="#,##0.00">
                  <c:v>123.11333333333334</c:v>
                </c:pt>
                <c:pt idx="77" formatCode="#,##0.00">
                  <c:v>126.15833333333335</c:v>
                </c:pt>
                <c:pt idx="78" formatCode="#,##0.00">
                  <c:v>129.37833333333333</c:v>
                </c:pt>
                <c:pt idx="79" formatCode="#,##0.00">
                  <c:v>133.47833333333332</c:v>
                </c:pt>
                <c:pt idx="80" formatCode="#,##0.00">
                  <c:v>139.465</c:v>
                </c:pt>
                <c:pt idx="81" formatCode="#,##0.00">
                  <c:v>148.4383333333333</c:v>
                </c:pt>
                <c:pt idx="82" formatCode="#,##0.00">
                  <c:v>160.79166666666666</c:v>
                </c:pt>
                <c:pt idx="83" formatCode="#,##0.00">
                  <c:v>175.99666666666667</c:v>
                </c:pt>
                <c:pt idx="84" formatCode="#,##0.00">
                  <c:v>195.52500000000001</c:v>
                </c:pt>
                <c:pt idx="85" formatCode="#,##0.00">
                  <c:v>216.84666666666666</c:v>
                </c:pt>
                <c:pt idx="86" formatCode="#,##0.00">
                  <c:v>238.06499999999997</c:v>
                </c:pt>
                <c:pt idx="87" formatCode="#,##0.00">
                  <c:v>259.2766666666667</c:v>
                </c:pt>
                <c:pt idx="88" formatCode="#,##0.00">
                  <c:v>277.45</c:v>
                </c:pt>
                <c:pt idx="89" formatCode="#,##0.00">
                  <c:v>293.71833333333331</c:v>
                </c:pt>
                <c:pt idx="90" formatCode="#,##0.00">
                  <c:v>307.24833333333333</c:v>
                </c:pt>
                <c:pt idx="91" formatCode="#,##0.00">
                  <c:v>319.20999999999998</c:v>
                </c:pt>
                <c:pt idx="92" formatCode="#,##0.00">
                  <c:v>329.6633333333333</c:v>
                </c:pt>
                <c:pt idx="93" formatCode="#,##0.00">
                  <c:v>336.17166666666662</c:v>
                </c:pt>
                <c:pt idx="94" formatCode="#,##0.00">
                  <c:v>343.3483333333333</c:v>
                </c:pt>
                <c:pt idx="95" formatCode="#,##0.00">
                  <c:v>349.46833333333331</c:v>
                </c:pt>
                <c:pt idx="96" formatCode="#,##0.00">
                  <c:v>354.23833333333329</c:v>
                </c:pt>
                <c:pt idx="97" formatCode="#,##0.00">
                  <c:v>357.59</c:v>
                </c:pt>
                <c:pt idx="98" formatCode="#,##0.00">
                  <c:v>360.26500000000004</c:v>
                </c:pt>
                <c:pt idx="99" formatCode="#,##0.00">
                  <c:v>365.935</c:v>
                </c:pt>
                <c:pt idx="100" formatCode="#,##0.00">
                  <c:v>374.90666666666669</c:v>
                </c:pt>
                <c:pt idx="101" formatCode="#,##0.00">
                  <c:v>389.04500000000002</c:v>
                </c:pt>
                <c:pt idx="102" formatCode="#,##0.00">
                  <c:v>404.60833333333329</c:v>
                </c:pt>
                <c:pt idx="103" formatCode="#,##0.00">
                  <c:v>421.69666666666666</c:v>
                </c:pt>
                <c:pt idx="104" formatCode="#,##0.00">
                  <c:v>439.52333333333331</c:v>
                </c:pt>
                <c:pt idx="105" formatCode="#,##0.00">
                  <c:v>456.42500000000001</c:v>
                </c:pt>
                <c:pt idx="106" formatCode="#,##0.00">
                  <c:v>474.43000000000006</c:v>
                </c:pt>
                <c:pt idx="107" formatCode="#,##0.00">
                  <c:v>490.22499999999997</c:v>
                </c:pt>
                <c:pt idx="108" formatCode="#,##0.00">
                  <c:v>504.94499999999999</c:v>
                </c:pt>
                <c:pt idx="109" formatCode="#,##0.00">
                  <c:v>519.57999999999993</c:v>
                </c:pt>
                <c:pt idx="110" formatCode="#,##0.00">
                  <c:v>534.10166666666669</c:v>
                </c:pt>
                <c:pt idx="111" formatCode="#,##0.00">
                  <c:v>547.54666666666662</c:v>
                </c:pt>
                <c:pt idx="112" formatCode="#,##0.00">
                  <c:v>558.14666666666665</c:v>
                </c:pt>
                <c:pt idx="113" formatCode="#,##0.00">
                  <c:v>566.98833333333334</c:v>
                </c:pt>
                <c:pt idx="114" formatCode="#,##0.00">
                  <c:v>576.53166666666664</c:v>
                </c:pt>
                <c:pt idx="115" formatCode="#,##0.00">
                  <c:v>587.27499999999998</c:v>
                </c:pt>
                <c:pt idx="116" formatCode="#,##0.00">
                  <c:v>598.68500000000006</c:v>
                </c:pt>
                <c:pt idx="117" formatCode="#,##0.00">
                  <c:v>611.45999999999992</c:v>
                </c:pt>
                <c:pt idx="118" formatCode="#,##0.00">
                  <c:v>627.31500000000005</c:v>
                </c:pt>
                <c:pt idx="119" formatCode="#,##0.00">
                  <c:v>644.47</c:v>
                </c:pt>
                <c:pt idx="120" formatCode="#,##0.00">
                  <c:v>661.95833333333337</c:v>
                </c:pt>
                <c:pt idx="121" formatCode="#,##0.00">
                  <c:v>679.07833333333338</c:v>
                </c:pt>
                <c:pt idx="122" formatCode="#,##0.00">
                  <c:v>697.33500000000004</c:v>
                </c:pt>
                <c:pt idx="123" formatCode="#,##0.00">
                  <c:v>716.45666666666659</c:v>
                </c:pt>
                <c:pt idx="124" formatCode="#,##0.00">
                  <c:v>733.92000000000007</c:v>
                </c:pt>
                <c:pt idx="125" formatCode="#,##0.00">
                  <c:v>750.42166666666662</c:v>
                </c:pt>
                <c:pt idx="126" formatCode="#,##0.00">
                  <c:v>767.69500000000005</c:v>
                </c:pt>
                <c:pt idx="127" formatCode="#,##0.00">
                  <c:v>785.33166666666659</c:v>
                </c:pt>
                <c:pt idx="128" formatCode="#,##0.00">
                  <c:v>802.92000000000007</c:v>
                </c:pt>
                <c:pt idx="129" formatCode="#,##0.00">
                  <c:v>819.24333333333334</c:v>
                </c:pt>
                <c:pt idx="130" formatCode="#,##0.00">
                  <c:v>836.41499999999996</c:v>
                </c:pt>
                <c:pt idx="131" formatCode="#,##0.00">
                  <c:v>856.47666666666657</c:v>
                </c:pt>
                <c:pt idx="132" formatCode="#,##0.00">
                  <c:v>879.62166666666656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62-4A4F-9CEC-F7229D8CE51D}"/>
            </c:ext>
          </c:extLst>
        </c:ser>
        <c:ser>
          <c:idx val="2"/>
          <c:order val="2"/>
          <c:tx>
            <c:strRef>
              <c:f>Endeks!$I$1:$I$3</c:f>
              <c:strCache>
                <c:ptCount val="3"/>
                <c:pt idx="0">
                  <c:v>9 Aylık Hareketli Ortalama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Endeks!$A$4:$A$142</c:f>
              <c:numCache>
                <c:formatCode>m/d/yy</c:formatCode>
                <c:ptCount val="139"/>
                <c:pt idx="0">
                  <c:v>42064</c:v>
                </c:pt>
                <c:pt idx="1">
                  <c:v>42095</c:v>
                </c:pt>
                <c:pt idx="2">
                  <c:v>42125</c:v>
                </c:pt>
                <c:pt idx="3">
                  <c:v>42156</c:v>
                </c:pt>
                <c:pt idx="4">
                  <c:v>42186</c:v>
                </c:pt>
                <c:pt idx="5">
                  <c:v>42217</c:v>
                </c:pt>
                <c:pt idx="6">
                  <c:v>42248</c:v>
                </c:pt>
                <c:pt idx="7">
                  <c:v>42278</c:v>
                </c:pt>
                <c:pt idx="8">
                  <c:v>42309</c:v>
                </c:pt>
                <c:pt idx="9">
                  <c:v>42339</c:v>
                </c:pt>
                <c:pt idx="10">
                  <c:v>42370</c:v>
                </c:pt>
                <c:pt idx="11">
                  <c:v>42401</c:v>
                </c:pt>
                <c:pt idx="12">
                  <c:v>42430</c:v>
                </c:pt>
                <c:pt idx="13">
                  <c:v>42461</c:v>
                </c:pt>
                <c:pt idx="14">
                  <c:v>42491</c:v>
                </c:pt>
                <c:pt idx="15">
                  <c:v>42522</c:v>
                </c:pt>
                <c:pt idx="16">
                  <c:v>42552</c:v>
                </c:pt>
                <c:pt idx="17">
                  <c:v>42583</c:v>
                </c:pt>
                <c:pt idx="18">
                  <c:v>42614</c:v>
                </c:pt>
                <c:pt idx="19">
                  <c:v>42644</c:v>
                </c:pt>
                <c:pt idx="20">
                  <c:v>42675</c:v>
                </c:pt>
                <c:pt idx="21">
                  <c:v>42705</c:v>
                </c:pt>
                <c:pt idx="22">
                  <c:v>42736</c:v>
                </c:pt>
                <c:pt idx="23">
                  <c:v>42767</c:v>
                </c:pt>
                <c:pt idx="24">
                  <c:v>42795</c:v>
                </c:pt>
                <c:pt idx="25">
                  <c:v>42826</c:v>
                </c:pt>
                <c:pt idx="26">
                  <c:v>42856</c:v>
                </c:pt>
                <c:pt idx="27">
                  <c:v>42887</c:v>
                </c:pt>
                <c:pt idx="28">
                  <c:v>42917</c:v>
                </c:pt>
                <c:pt idx="29">
                  <c:v>42948</c:v>
                </c:pt>
                <c:pt idx="30">
                  <c:v>42979</c:v>
                </c:pt>
                <c:pt idx="31">
                  <c:v>43009</c:v>
                </c:pt>
                <c:pt idx="32">
                  <c:v>43040</c:v>
                </c:pt>
                <c:pt idx="33">
                  <c:v>43070</c:v>
                </c:pt>
                <c:pt idx="34">
                  <c:v>43101</c:v>
                </c:pt>
                <c:pt idx="35">
                  <c:v>43132</c:v>
                </c:pt>
                <c:pt idx="36">
                  <c:v>43160</c:v>
                </c:pt>
                <c:pt idx="37">
                  <c:v>43191</c:v>
                </c:pt>
                <c:pt idx="38">
                  <c:v>43221</c:v>
                </c:pt>
                <c:pt idx="39">
                  <c:v>43252</c:v>
                </c:pt>
                <c:pt idx="40">
                  <c:v>43282</c:v>
                </c:pt>
                <c:pt idx="41">
                  <c:v>43313</c:v>
                </c:pt>
                <c:pt idx="42">
                  <c:v>43344</c:v>
                </c:pt>
                <c:pt idx="43">
                  <c:v>43374</c:v>
                </c:pt>
                <c:pt idx="44">
                  <c:v>43405</c:v>
                </c:pt>
                <c:pt idx="45">
                  <c:v>43435</c:v>
                </c:pt>
                <c:pt idx="46">
                  <c:v>43466</c:v>
                </c:pt>
                <c:pt idx="47">
                  <c:v>43497</c:v>
                </c:pt>
                <c:pt idx="48">
                  <c:v>43525</c:v>
                </c:pt>
                <c:pt idx="49">
                  <c:v>43556</c:v>
                </c:pt>
                <c:pt idx="50">
                  <c:v>43586</c:v>
                </c:pt>
                <c:pt idx="51">
                  <c:v>43617</c:v>
                </c:pt>
                <c:pt idx="52">
                  <c:v>43647</c:v>
                </c:pt>
                <c:pt idx="53">
                  <c:v>43678</c:v>
                </c:pt>
                <c:pt idx="54">
                  <c:v>43709</c:v>
                </c:pt>
                <c:pt idx="55">
                  <c:v>43739</c:v>
                </c:pt>
                <c:pt idx="56">
                  <c:v>43770</c:v>
                </c:pt>
                <c:pt idx="57">
                  <c:v>43800</c:v>
                </c:pt>
                <c:pt idx="58">
                  <c:v>43831</c:v>
                </c:pt>
                <c:pt idx="59">
                  <c:v>43862</c:v>
                </c:pt>
                <c:pt idx="60">
                  <c:v>43891</c:v>
                </c:pt>
                <c:pt idx="61">
                  <c:v>43922</c:v>
                </c:pt>
                <c:pt idx="62">
                  <c:v>43952</c:v>
                </c:pt>
                <c:pt idx="63">
                  <c:v>43983</c:v>
                </c:pt>
                <c:pt idx="64">
                  <c:v>44013</c:v>
                </c:pt>
                <c:pt idx="65">
                  <c:v>44044</c:v>
                </c:pt>
                <c:pt idx="66">
                  <c:v>44075</c:v>
                </c:pt>
                <c:pt idx="67">
                  <c:v>44105</c:v>
                </c:pt>
                <c:pt idx="68">
                  <c:v>44136</c:v>
                </c:pt>
                <c:pt idx="69">
                  <c:v>44166</c:v>
                </c:pt>
                <c:pt idx="70">
                  <c:v>44197</c:v>
                </c:pt>
                <c:pt idx="71">
                  <c:v>44228</c:v>
                </c:pt>
                <c:pt idx="72">
                  <c:v>44256</c:v>
                </c:pt>
                <c:pt idx="73">
                  <c:v>44287</c:v>
                </c:pt>
                <c:pt idx="74">
                  <c:v>44317</c:v>
                </c:pt>
                <c:pt idx="75">
                  <c:v>44348</c:v>
                </c:pt>
                <c:pt idx="76">
                  <c:v>44378</c:v>
                </c:pt>
                <c:pt idx="77">
                  <c:v>44409</c:v>
                </c:pt>
                <c:pt idx="78">
                  <c:v>44440</c:v>
                </c:pt>
                <c:pt idx="79">
                  <c:v>44470</c:v>
                </c:pt>
                <c:pt idx="80">
                  <c:v>44501</c:v>
                </c:pt>
                <c:pt idx="81">
                  <c:v>44531</c:v>
                </c:pt>
                <c:pt idx="82">
                  <c:v>44562</c:v>
                </c:pt>
                <c:pt idx="83">
                  <c:v>44593</c:v>
                </c:pt>
                <c:pt idx="84">
                  <c:v>44621</c:v>
                </c:pt>
                <c:pt idx="85">
                  <c:v>44652</c:v>
                </c:pt>
                <c:pt idx="86">
                  <c:v>44682</c:v>
                </c:pt>
                <c:pt idx="87">
                  <c:v>44713</c:v>
                </c:pt>
                <c:pt idx="88">
                  <c:v>44743</c:v>
                </c:pt>
                <c:pt idx="89">
                  <c:v>44774</c:v>
                </c:pt>
                <c:pt idx="90">
                  <c:v>44805</c:v>
                </c:pt>
                <c:pt idx="91">
                  <c:v>44835</c:v>
                </c:pt>
                <c:pt idx="92">
                  <c:v>44866</c:v>
                </c:pt>
                <c:pt idx="93">
                  <c:v>44896</c:v>
                </c:pt>
                <c:pt idx="94">
                  <c:v>44927</c:v>
                </c:pt>
                <c:pt idx="95">
                  <c:v>44958</c:v>
                </c:pt>
                <c:pt idx="96">
                  <c:v>44986</c:v>
                </c:pt>
                <c:pt idx="97">
                  <c:v>45017</c:v>
                </c:pt>
                <c:pt idx="98">
                  <c:v>45047</c:v>
                </c:pt>
                <c:pt idx="99">
                  <c:v>45078</c:v>
                </c:pt>
                <c:pt idx="100">
                  <c:v>45108</c:v>
                </c:pt>
                <c:pt idx="101">
                  <c:v>45139</c:v>
                </c:pt>
                <c:pt idx="102">
                  <c:v>45170</c:v>
                </c:pt>
                <c:pt idx="103">
                  <c:v>45200</c:v>
                </c:pt>
                <c:pt idx="104">
                  <c:v>45231</c:v>
                </c:pt>
                <c:pt idx="105">
                  <c:v>45261</c:v>
                </c:pt>
                <c:pt idx="106">
                  <c:v>45292</c:v>
                </c:pt>
                <c:pt idx="107">
                  <c:v>45323</c:v>
                </c:pt>
                <c:pt idx="108">
                  <c:v>45352</c:v>
                </c:pt>
                <c:pt idx="109">
                  <c:v>45383</c:v>
                </c:pt>
                <c:pt idx="110">
                  <c:v>45413</c:v>
                </c:pt>
                <c:pt idx="111">
                  <c:v>45444</c:v>
                </c:pt>
                <c:pt idx="112">
                  <c:v>45474</c:v>
                </c:pt>
                <c:pt idx="113">
                  <c:v>45505</c:v>
                </c:pt>
                <c:pt idx="114">
                  <c:v>45536</c:v>
                </c:pt>
                <c:pt idx="115">
                  <c:v>45566</c:v>
                </c:pt>
                <c:pt idx="116">
                  <c:v>45597</c:v>
                </c:pt>
                <c:pt idx="117">
                  <c:v>45627</c:v>
                </c:pt>
                <c:pt idx="118">
                  <c:v>45658</c:v>
                </c:pt>
                <c:pt idx="119">
                  <c:v>45689</c:v>
                </c:pt>
                <c:pt idx="120">
                  <c:v>45717</c:v>
                </c:pt>
                <c:pt idx="121">
                  <c:v>45748</c:v>
                </c:pt>
                <c:pt idx="122">
                  <c:v>45778</c:v>
                </c:pt>
                <c:pt idx="123">
                  <c:v>45809</c:v>
                </c:pt>
                <c:pt idx="124">
                  <c:v>45839</c:v>
                </c:pt>
                <c:pt idx="125">
                  <c:v>45870</c:v>
                </c:pt>
                <c:pt idx="126">
                  <c:v>45901</c:v>
                </c:pt>
                <c:pt idx="127">
                  <c:v>45931</c:v>
                </c:pt>
                <c:pt idx="128">
                  <c:v>45962</c:v>
                </c:pt>
                <c:pt idx="129">
                  <c:v>45992</c:v>
                </c:pt>
                <c:pt idx="130">
                  <c:v>46023</c:v>
                </c:pt>
                <c:pt idx="131">
                  <c:v>46054</c:v>
                </c:pt>
                <c:pt idx="132">
                  <c:v>46082</c:v>
                </c:pt>
              </c:numCache>
            </c:numRef>
          </c:cat>
          <c:val>
            <c:numRef>
              <c:f>Endeks!$I$4:$I$142</c:f>
              <c:numCache>
                <c:formatCode>General</c:formatCode>
                <c:ptCount val="139"/>
                <c:pt idx="6" formatCode="#,##0.00">
                  <c:v>57.654444444444444</c:v>
                </c:pt>
                <c:pt idx="7" formatCode="#,##0.00">
                  <c:v>57.805555555555557</c:v>
                </c:pt>
                <c:pt idx="8" formatCode="#,##0.00">
                  <c:v>57.925555555555562</c:v>
                </c:pt>
                <c:pt idx="9" formatCode="#,##0.00">
                  <c:v>58.012222222222221</c:v>
                </c:pt>
                <c:pt idx="10" formatCode="#,##0.00">
                  <c:v>58.169999999999995</c:v>
                </c:pt>
                <c:pt idx="11" formatCode="#,##0.00">
                  <c:v>58.265555555555551</c:v>
                </c:pt>
                <c:pt idx="12" formatCode="#,##0.00">
                  <c:v>58.38000000000001</c:v>
                </c:pt>
                <c:pt idx="13" formatCode="#,##0.00">
                  <c:v>58.528888888888886</c:v>
                </c:pt>
                <c:pt idx="14" formatCode="#,##0.00">
                  <c:v>58.695555555555558</c:v>
                </c:pt>
                <c:pt idx="15" formatCode="#,##0.00">
                  <c:v>58.839999999999996</c:v>
                </c:pt>
                <c:pt idx="16" formatCode="#,##0.00">
                  <c:v>59.018888888888895</c:v>
                </c:pt>
                <c:pt idx="17" formatCode="#,##0.00">
                  <c:v>59.18</c:v>
                </c:pt>
                <c:pt idx="18" formatCode="#,##0.00">
                  <c:v>59.391111111111108</c:v>
                </c:pt>
                <c:pt idx="19" formatCode="#,##0.00">
                  <c:v>59.583333333333336</c:v>
                </c:pt>
                <c:pt idx="20" formatCode="#,##0.00">
                  <c:v>59.831111111111113</c:v>
                </c:pt>
                <c:pt idx="21" formatCode="#,##0.00">
                  <c:v>60.156666666666666</c:v>
                </c:pt>
                <c:pt idx="22" formatCode="#,##0.00">
                  <c:v>60.597777777777779</c:v>
                </c:pt>
                <c:pt idx="23" formatCode="#,##0.00">
                  <c:v>61.052222222222227</c:v>
                </c:pt>
                <c:pt idx="24" formatCode="#,##0.00">
                  <c:v>61.522222222222211</c:v>
                </c:pt>
                <c:pt idx="25" formatCode="#,##0.00">
                  <c:v>62.022222222222226</c:v>
                </c:pt>
                <c:pt idx="26" formatCode="#,##0.00">
                  <c:v>62.522222222222226</c:v>
                </c:pt>
                <c:pt idx="27" formatCode="#,##0.00">
                  <c:v>62.973333333333329</c:v>
                </c:pt>
                <c:pt idx="28" formatCode="#,##0.00">
                  <c:v>63.448888888888888</c:v>
                </c:pt>
                <c:pt idx="29" formatCode="#,##0.00">
                  <c:v>63.93666666666666</c:v>
                </c:pt>
                <c:pt idx="30" formatCode="#,##0.00">
                  <c:v>64.384444444444455</c:v>
                </c:pt>
                <c:pt idx="31" formatCode="#,##0.00">
                  <c:v>64.846666666666664</c:v>
                </c:pt>
                <c:pt idx="32" formatCode="#,##0.00">
                  <c:v>65.417777777777772</c:v>
                </c:pt>
                <c:pt idx="33" formatCode="#,##0.00">
                  <c:v>66.037777777777762</c:v>
                </c:pt>
                <c:pt idx="34" formatCode="#,##0.00">
                  <c:v>66.865555555555545</c:v>
                </c:pt>
                <c:pt idx="35" formatCode="#,##0.00">
                  <c:v>67.78</c:v>
                </c:pt>
                <c:pt idx="36" formatCode="#,##0.00">
                  <c:v>68.804444444444442</c:v>
                </c:pt>
                <c:pt idx="37" formatCode="#,##0.00">
                  <c:v>69.912222222222226</c:v>
                </c:pt>
                <c:pt idx="38" formatCode="#,##0.00">
                  <c:v>71.068888888888878</c:v>
                </c:pt>
                <c:pt idx="39" formatCode="#,##0.00">
                  <c:v>72.256666666666661</c:v>
                </c:pt>
                <c:pt idx="40" formatCode="#,##0.00">
                  <c:v>73.433333333333337</c:v>
                </c:pt>
                <c:pt idx="41" formatCode="#,##0.00">
                  <c:v>74.773333333333341</c:v>
                </c:pt>
                <c:pt idx="42" formatCode="#,##0.00">
                  <c:v>76.336666666666673</c:v>
                </c:pt>
                <c:pt idx="43" formatCode="#,##0.00">
                  <c:v>77.89</c:v>
                </c:pt>
                <c:pt idx="44" formatCode="#,##0.00">
                  <c:v>79.371111111111105</c:v>
                </c:pt>
                <c:pt idx="45" formatCode="#,##0.00">
                  <c:v>80.694444444444443</c:v>
                </c:pt>
                <c:pt idx="46" formatCode="#,##0.00">
                  <c:v>82.052222222222213</c:v>
                </c:pt>
                <c:pt idx="47" formatCode="#,##0.00">
                  <c:v>83.36</c:v>
                </c:pt>
                <c:pt idx="48" formatCode="#,##0.00">
                  <c:v>84.704444444444448</c:v>
                </c:pt>
                <c:pt idx="49" formatCode="#,##0.00">
                  <c:v>86.01111111111112</c:v>
                </c:pt>
                <c:pt idx="50" formatCode="#,##0.00">
                  <c:v>87.141111111111115</c:v>
                </c:pt>
                <c:pt idx="51" formatCode="#,##0.00">
                  <c:v>87.965555555555554</c:v>
                </c:pt>
                <c:pt idx="52" formatCode="#,##0.00">
                  <c:v>88.602222222222224</c:v>
                </c:pt>
                <c:pt idx="53" formatCode="#,##0.00">
                  <c:v>89.245555555555541</c:v>
                </c:pt>
                <c:pt idx="54" formatCode="#,##0.00">
                  <c:v>89.947777777777773</c:v>
                </c:pt>
                <c:pt idx="55" formatCode="#,##0.00">
                  <c:v>90.534444444444432</c:v>
                </c:pt>
                <c:pt idx="56" formatCode="#,##0.00">
                  <c:v>91.155555555555566</c:v>
                </c:pt>
                <c:pt idx="57" formatCode="#,##0.00">
                  <c:v>91.732222222222234</c:v>
                </c:pt>
                <c:pt idx="58" formatCode="#,##0.00">
                  <c:v>92.336666666666687</c:v>
                </c:pt>
                <c:pt idx="59" formatCode="#,##0.00">
                  <c:v>92.833333333333343</c:v>
                </c:pt>
                <c:pt idx="60" formatCode="#,##0.00">
                  <c:v>93.366666666666688</c:v>
                </c:pt>
                <c:pt idx="61" formatCode="#,##0.00">
                  <c:v>93.958888888888907</c:v>
                </c:pt>
                <c:pt idx="62" formatCode="#,##0.00">
                  <c:v>94.567777777777778</c:v>
                </c:pt>
                <c:pt idx="63" formatCode="#,##0.00">
                  <c:v>95.167777777777786</c:v>
                </c:pt>
                <c:pt idx="64" formatCode="#,##0.00">
                  <c:v>95.755555555555546</c:v>
                </c:pt>
                <c:pt idx="65" formatCode="#,##0.00">
                  <c:v>96.455555555555563</c:v>
                </c:pt>
                <c:pt idx="66" formatCode="#,##0.00">
                  <c:v>97.295555555555552</c:v>
                </c:pt>
                <c:pt idx="67" formatCode="#,##0.00">
                  <c:v>98.401111111111106</c:v>
                </c:pt>
                <c:pt idx="68" formatCode="#,##0.00">
                  <c:v>99.854444444444454</c:v>
                </c:pt>
                <c:pt idx="69" formatCode="#,##0.00">
                  <c:v>101.55555555555556</c:v>
                </c:pt>
                <c:pt idx="70" formatCode="#,##0.00">
                  <c:v>103.46111111111112</c:v>
                </c:pt>
                <c:pt idx="71" formatCode="#,##0.00">
                  <c:v>105.5511111111111</c:v>
                </c:pt>
                <c:pt idx="72" formatCode="#,##0.00">
                  <c:v>107.84222222222222</c:v>
                </c:pt>
                <c:pt idx="73" formatCode="#,##0.00">
                  <c:v>110.34555555555556</c:v>
                </c:pt>
                <c:pt idx="74" formatCode="#,##0.00">
                  <c:v>113.03</c:v>
                </c:pt>
                <c:pt idx="75" formatCode="#,##0.00">
                  <c:v>116.04777777777778</c:v>
                </c:pt>
                <c:pt idx="76" formatCode="#,##0.00">
                  <c:v>119.12222222222221</c:v>
                </c:pt>
                <c:pt idx="77" formatCode="#,##0.00">
                  <c:v>121.98333333333332</c:v>
                </c:pt>
                <c:pt idx="78" formatCode="#,##0.00">
                  <c:v>124.86444444444444</c:v>
                </c:pt>
                <c:pt idx="79" formatCode="#,##0.00">
                  <c:v>128.29666666666668</c:v>
                </c:pt>
                <c:pt idx="80" formatCode="#,##0.00">
                  <c:v>133.14666666666668</c:v>
                </c:pt>
                <c:pt idx="81" formatCode="#,##0.00">
                  <c:v>140.35555555555555</c:v>
                </c:pt>
                <c:pt idx="82" formatCode="#,##0.00">
                  <c:v>149.95888888888891</c:v>
                </c:pt>
                <c:pt idx="83" formatCode="#,##0.00">
                  <c:v>161.26666666666668</c:v>
                </c:pt>
                <c:pt idx="84" formatCode="#,##0.00">
                  <c:v>175.20555555555555</c:v>
                </c:pt>
                <c:pt idx="85" formatCode="#,##0.00">
                  <c:v>190.78555555555556</c:v>
                </c:pt>
                <c:pt idx="86" formatCode="#,##0.00">
                  <c:v>207.75111111111107</c:v>
                </c:pt>
                <c:pt idx="87" formatCode="#,##0.00">
                  <c:v>226.95444444444445</c:v>
                </c:pt>
                <c:pt idx="88" formatCode="#,##0.00">
                  <c:v>245.94</c:v>
                </c:pt>
                <c:pt idx="89" formatCode="#,##0.00">
                  <c:v>264.10222222222217</c:v>
                </c:pt>
                <c:pt idx="90" formatCode="#,##0.00">
                  <c:v>281.07888888888891</c:v>
                </c:pt>
                <c:pt idx="91" formatCode="#,##0.00">
                  <c:v>296.39777777777778</c:v>
                </c:pt>
                <c:pt idx="92" formatCode="#,##0.00">
                  <c:v>310.19555555555559</c:v>
                </c:pt>
                <c:pt idx="93" formatCode="#,##0.00">
                  <c:v>320.7188888888889</c:v>
                </c:pt>
                <c:pt idx="94" formatCode="#,##0.00">
                  <c:v>330.27444444444444</c:v>
                </c:pt>
                <c:pt idx="95" formatCode="#,##0.00">
                  <c:v>338.37111111111113</c:v>
                </c:pt>
                <c:pt idx="96" formatCode="#,##0.00">
                  <c:v>344.3866666666666</c:v>
                </c:pt>
                <c:pt idx="97" formatCode="#,##0.00">
                  <c:v>349.82444444444445</c:v>
                </c:pt>
                <c:pt idx="98" formatCode="#,##0.00">
                  <c:v>354.56</c:v>
                </c:pt>
                <c:pt idx="99" formatCode="#,##0.00">
                  <c:v>359.84333333333331</c:v>
                </c:pt>
                <c:pt idx="100" formatCode="#,##0.00">
                  <c:v>367.40555555555551</c:v>
                </c:pt>
                <c:pt idx="101" formatCode="#,##0.00">
                  <c:v>377.95888888888891</c:v>
                </c:pt>
                <c:pt idx="102" formatCode="#,##0.00">
                  <c:v>390.01111111111118</c:v>
                </c:pt>
                <c:pt idx="103" formatCode="#,##0.00">
                  <c:v>402.05666666666667</c:v>
                </c:pt>
                <c:pt idx="104" formatCode="#,##0.00">
                  <c:v>414.59666666666664</c:v>
                </c:pt>
                <c:pt idx="105" formatCode="#,##0.00">
                  <c:v>427.96777777777766</c:v>
                </c:pt>
                <c:pt idx="106" formatCode="#,##0.00">
                  <c:v>445.29888888888888</c:v>
                </c:pt>
                <c:pt idx="107" formatCode="#,##0.00">
                  <c:v>464.59888888888884</c:v>
                </c:pt>
                <c:pt idx="108" formatCode="#,##0.00">
                  <c:v>482.68444444444452</c:v>
                </c:pt>
                <c:pt idx="109" formatCode="#,##0.00">
                  <c:v>498.50555555555559</c:v>
                </c:pt>
                <c:pt idx="110" formatCode="#,##0.00">
                  <c:v>511.30111111111103</c:v>
                </c:pt>
                <c:pt idx="111" formatCode="#,##0.00">
                  <c:v>523.26</c:v>
                </c:pt>
                <c:pt idx="112" formatCode="#,##0.00">
                  <c:v>536.26555555555547</c:v>
                </c:pt>
                <c:pt idx="113" formatCode="#,##0.00">
                  <c:v>549.57555555555564</c:v>
                </c:pt>
                <c:pt idx="114" formatCode="#,##0.00">
                  <c:v>562.75555555555559</c:v>
                </c:pt>
                <c:pt idx="115" formatCode="#,##0.00">
                  <c:v>573.73555555555549</c:v>
                </c:pt>
                <c:pt idx="116" formatCode="#,##0.00">
                  <c:v>583.60777777777776</c:v>
                </c:pt>
                <c:pt idx="117" formatCode="#,##0.00">
                  <c:v>594.27</c:v>
                </c:pt>
                <c:pt idx="118" formatCode="#,##0.00">
                  <c:v>608.08888888888896</c:v>
                </c:pt>
                <c:pt idx="119" formatCode="#,##0.00">
                  <c:v>623.15444444444449</c:v>
                </c:pt>
                <c:pt idx="120" formatCode="#,##0.00">
                  <c:v>639.02999999999986</c:v>
                </c:pt>
                <c:pt idx="121" formatCode="#,##0.00">
                  <c:v>654.3566666666668</c:v>
                </c:pt>
                <c:pt idx="122" formatCode="#,##0.00">
                  <c:v>670.50555555555547</c:v>
                </c:pt>
                <c:pt idx="123" formatCode="#,##0.00">
                  <c:v>687.55333333333328</c:v>
                </c:pt>
                <c:pt idx="124" formatCode="#,##0.00">
                  <c:v>705.85222222222228</c:v>
                </c:pt>
                <c:pt idx="125" formatCode="#,##0.00">
                  <c:v>724.3122222222222</c:v>
                </c:pt>
                <c:pt idx="126" formatCode="#,##0.00">
                  <c:v>743.18666666666661</c:v>
                </c:pt>
                <c:pt idx="127" formatCode="#,##0.00">
                  <c:v>759.70111111111112</c:v>
                </c:pt>
                <c:pt idx="128" formatCode="#,##0.00">
                  <c:v>776.13888888888891</c:v>
                </c:pt>
                <c:pt idx="129" formatCode="#,##0.00">
                  <c:v>792.41000000000008</c:v>
                </c:pt>
                <c:pt idx="130" formatCode="#,##0.00">
                  <c:v>810.74333333333334</c:v>
                </c:pt>
                <c:pt idx="131" formatCode="#,##0.00">
                  <c:v>830.40666666666675</c:v>
                </c:pt>
                <c:pt idx="132" formatCode="#,##0.00">
                  <c:v>851.96333333333325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562-4A4F-9CEC-F7229D8CE51D}"/>
            </c:ext>
          </c:extLst>
        </c:ser>
        <c:ser>
          <c:idx val="3"/>
          <c:order val="3"/>
          <c:tx>
            <c:strRef>
              <c:f>Endeks!$J$1:$J$3</c:f>
              <c:strCache>
                <c:ptCount val="3"/>
                <c:pt idx="0">
                  <c:v>12 Aylık Hareketli Ortalama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Endeks!$A$4:$A$142</c:f>
              <c:numCache>
                <c:formatCode>m/d/yy</c:formatCode>
                <c:ptCount val="139"/>
                <c:pt idx="0">
                  <c:v>42064</c:v>
                </c:pt>
                <c:pt idx="1">
                  <c:v>42095</c:v>
                </c:pt>
                <c:pt idx="2">
                  <c:v>42125</c:v>
                </c:pt>
                <c:pt idx="3">
                  <c:v>42156</c:v>
                </c:pt>
                <c:pt idx="4">
                  <c:v>42186</c:v>
                </c:pt>
                <c:pt idx="5">
                  <c:v>42217</c:v>
                </c:pt>
                <c:pt idx="6">
                  <c:v>42248</c:v>
                </c:pt>
                <c:pt idx="7">
                  <c:v>42278</c:v>
                </c:pt>
                <c:pt idx="8">
                  <c:v>42309</c:v>
                </c:pt>
                <c:pt idx="9">
                  <c:v>42339</c:v>
                </c:pt>
                <c:pt idx="10">
                  <c:v>42370</c:v>
                </c:pt>
                <c:pt idx="11">
                  <c:v>42401</c:v>
                </c:pt>
                <c:pt idx="12">
                  <c:v>42430</c:v>
                </c:pt>
                <c:pt idx="13">
                  <c:v>42461</c:v>
                </c:pt>
                <c:pt idx="14">
                  <c:v>42491</c:v>
                </c:pt>
                <c:pt idx="15">
                  <c:v>42522</c:v>
                </c:pt>
                <c:pt idx="16">
                  <c:v>42552</c:v>
                </c:pt>
                <c:pt idx="17">
                  <c:v>42583</c:v>
                </c:pt>
                <c:pt idx="18">
                  <c:v>42614</c:v>
                </c:pt>
                <c:pt idx="19">
                  <c:v>42644</c:v>
                </c:pt>
                <c:pt idx="20">
                  <c:v>42675</c:v>
                </c:pt>
                <c:pt idx="21">
                  <c:v>42705</c:v>
                </c:pt>
                <c:pt idx="22">
                  <c:v>42736</c:v>
                </c:pt>
                <c:pt idx="23">
                  <c:v>42767</c:v>
                </c:pt>
                <c:pt idx="24">
                  <c:v>42795</c:v>
                </c:pt>
                <c:pt idx="25">
                  <c:v>42826</c:v>
                </c:pt>
                <c:pt idx="26">
                  <c:v>42856</c:v>
                </c:pt>
                <c:pt idx="27">
                  <c:v>42887</c:v>
                </c:pt>
                <c:pt idx="28">
                  <c:v>42917</c:v>
                </c:pt>
                <c:pt idx="29">
                  <c:v>42948</c:v>
                </c:pt>
                <c:pt idx="30">
                  <c:v>42979</c:v>
                </c:pt>
                <c:pt idx="31">
                  <c:v>43009</c:v>
                </c:pt>
                <c:pt idx="32">
                  <c:v>43040</c:v>
                </c:pt>
                <c:pt idx="33">
                  <c:v>43070</c:v>
                </c:pt>
                <c:pt idx="34">
                  <c:v>43101</c:v>
                </c:pt>
                <c:pt idx="35">
                  <c:v>43132</c:v>
                </c:pt>
                <c:pt idx="36">
                  <c:v>43160</c:v>
                </c:pt>
                <c:pt idx="37">
                  <c:v>43191</c:v>
                </c:pt>
                <c:pt idx="38">
                  <c:v>43221</c:v>
                </c:pt>
                <c:pt idx="39">
                  <c:v>43252</c:v>
                </c:pt>
                <c:pt idx="40">
                  <c:v>43282</c:v>
                </c:pt>
                <c:pt idx="41">
                  <c:v>43313</c:v>
                </c:pt>
                <c:pt idx="42">
                  <c:v>43344</c:v>
                </c:pt>
                <c:pt idx="43">
                  <c:v>43374</c:v>
                </c:pt>
                <c:pt idx="44">
                  <c:v>43405</c:v>
                </c:pt>
                <c:pt idx="45">
                  <c:v>43435</c:v>
                </c:pt>
                <c:pt idx="46">
                  <c:v>43466</c:v>
                </c:pt>
                <c:pt idx="47">
                  <c:v>43497</c:v>
                </c:pt>
                <c:pt idx="48">
                  <c:v>43525</c:v>
                </c:pt>
                <c:pt idx="49">
                  <c:v>43556</c:v>
                </c:pt>
                <c:pt idx="50">
                  <c:v>43586</c:v>
                </c:pt>
                <c:pt idx="51">
                  <c:v>43617</c:v>
                </c:pt>
                <c:pt idx="52">
                  <c:v>43647</c:v>
                </c:pt>
                <c:pt idx="53">
                  <c:v>43678</c:v>
                </c:pt>
                <c:pt idx="54">
                  <c:v>43709</c:v>
                </c:pt>
                <c:pt idx="55">
                  <c:v>43739</c:v>
                </c:pt>
                <c:pt idx="56">
                  <c:v>43770</c:v>
                </c:pt>
                <c:pt idx="57">
                  <c:v>43800</c:v>
                </c:pt>
                <c:pt idx="58">
                  <c:v>43831</c:v>
                </c:pt>
                <c:pt idx="59">
                  <c:v>43862</c:v>
                </c:pt>
                <c:pt idx="60">
                  <c:v>43891</c:v>
                </c:pt>
                <c:pt idx="61">
                  <c:v>43922</c:v>
                </c:pt>
                <c:pt idx="62">
                  <c:v>43952</c:v>
                </c:pt>
                <c:pt idx="63">
                  <c:v>43983</c:v>
                </c:pt>
                <c:pt idx="64">
                  <c:v>44013</c:v>
                </c:pt>
                <c:pt idx="65">
                  <c:v>44044</c:v>
                </c:pt>
                <c:pt idx="66">
                  <c:v>44075</c:v>
                </c:pt>
                <c:pt idx="67">
                  <c:v>44105</c:v>
                </c:pt>
                <c:pt idx="68">
                  <c:v>44136</c:v>
                </c:pt>
                <c:pt idx="69">
                  <c:v>44166</c:v>
                </c:pt>
                <c:pt idx="70">
                  <c:v>44197</c:v>
                </c:pt>
                <c:pt idx="71">
                  <c:v>44228</c:v>
                </c:pt>
                <c:pt idx="72">
                  <c:v>44256</c:v>
                </c:pt>
                <c:pt idx="73">
                  <c:v>44287</c:v>
                </c:pt>
                <c:pt idx="74">
                  <c:v>44317</c:v>
                </c:pt>
                <c:pt idx="75">
                  <c:v>44348</c:v>
                </c:pt>
                <c:pt idx="76">
                  <c:v>44378</c:v>
                </c:pt>
                <c:pt idx="77">
                  <c:v>44409</c:v>
                </c:pt>
                <c:pt idx="78">
                  <c:v>44440</c:v>
                </c:pt>
                <c:pt idx="79">
                  <c:v>44470</c:v>
                </c:pt>
                <c:pt idx="80">
                  <c:v>44501</c:v>
                </c:pt>
                <c:pt idx="81">
                  <c:v>44531</c:v>
                </c:pt>
                <c:pt idx="82">
                  <c:v>44562</c:v>
                </c:pt>
                <c:pt idx="83">
                  <c:v>44593</c:v>
                </c:pt>
                <c:pt idx="84">
                  <c:v>44621</c:v>
                </c:pt>
                <c:pt idx="85">
                  <c:v>44652</c:v>
                </c:pt>
                <c:pt idx="86">
                  <c:v>44682</c:v>
                </c:pt>
                <c:pt idx="87">
                  <c:v>44713</c:v>
                </c:pt>
                <c:pt idx="88">
                  <c:v>44743</c:v>
                </c:pt>
                <c:pt idx="89">
                  <c:v>44774</c:v>
                </c:pt>
                <c:pt idx="90">
                  <c:v>44805</c:v>
                </c:pt>
                <c:pt idx="91">
                  <c:v>44835</c:v>
                </c:pt>
                <c:pt idx="92">
                  <c:v>44866</c:v>
                </c:pt>
                <c:pt idx="93">
                  <c:v>44896</c:v>
                </c:pt>
                <c:pt idx="94">
                  <c:v>44927</c:v>
                </c:pt>
                <c:pt idx="95">
                  <c:v>44958</c:v>
                </c:pt>
                <c:pt idx="96">
                  <c:v>44986</c:v>
                </c:pt>
                <c:pt idx="97">
                  <c:v>45017</c:v>
                </c:pt>
                <c:pt idx="98">
                  <c:v>45047</c:v>
                </c:pt>
                <c:pt idx="99">
                  <c:v>45078</c:v>
                </c:pt>
                <c:pt idx="100">
                  <c:v>45108</c:v>
                </c:pt>
                <c:pt idx="101">
                  <c:v>45139</c:v>
                </c:pt>
                <c:pt idx="102">
                  <c:v>45170</c:v>
                </c:pt>
                <c:pt idx="103">
                  <c:v>45200</c:v>
                </c:pt>
                <c:pt idx="104">
                  <c:v>45231</c:v>
                </c:pt>
                <c:pt idx="105">
                  <c:v>45261</c:v>
                </c:pt>
                <c:pt idx="106">
                  <c:v>45292</c:v>
                </c:pt>
                <c:pt idx="107">
                  <c:v>45323</c:v>
                </c:pt>
                <c:pt idx="108">
                  <c:v>45352</c:v>
                </c:pt>
                <c:pt idx="109">
                  <c:v>45383</c:v>
                </c:pt>
                <c:pt idx="110">
                  <c:v>45413</c:v>
                </c:pt>
                <c:pt idx="111">
                  <c:v>45444</c:v>
                </c:pt>
                <c:pt idx="112">
                  <c:v>45474</c:v>
                </c:pt>
                <c:pt idx="113">
                  <c:v>45505</c:v>
                </c:pt>
                <c:pt idx="114">
                  <c:v>45536</c:v>
                </c:pt>
                <c:pt idx="115">
                  <c:v>45566</c:v>
                </c:pt>
                <c:pt idx="116">
                  <c:v>45597</c:v>
                </c:pt>
                <c:pt idx="117">
                  <c:v>45627</c:v>
                </c:pt>
                <c:pt idx="118">
                  <c:v>45658</c:v>
                </c:pt>
                <c:pt idx="119">
                  <c:v>45689</c:v>
                </c:pt>
                <c:pt idx="120">
                  <c:v>45717</c:v>
                </c:pt>
                <c:pt idx="121">
                  <c:v>45748</c:v>
                </c:pt>
                <c:pt idx="122">
                  <c:v>45778</c:v>
                </c:pt>
                <c:pt idx="123">
                  <c:v>45809</c:v>
                </c:pt>
                <c:pt idx="124">
                  <c:v>45839</c:v>
                </c:pt>
                <c:pt idx="125">
                  <c:v>45870</c:v>
                </c:pt>
                <c:pt idx="126">
                  <c:v>45901</c:v>
                </c:pt>
                <c:pt idx="127">
                  <c:v>45931</c:v>
                </c:pt>
                <c:pt idx="128">
                  <c:v>45962</c:v>
                </c:pt>
                <c:pt idx="129">
                  <c:v>45992</c:v>
                </c:pt>
                <c:pt idx="130">
                  <c:v>46023</c:v>
                </c:pt>
                <c:pt idx="131">
                  <c:v>46054</c:v>
                </c:pt>
                <c:pt idx="132">
                  <c:v>46082</c:v>
                </c:pt>
              </c:numCache>
            </c:numRef>
          </c:cat>
          <c:val>
            <c:numRef>
              <c:f>Endeks!$J$4:$J$142</c:f>
              <c:numCache>
                <c:formatCode>General</c:formatCode>
                <c:ptCount val="139"/>
                <c:pt idx="9" formatCode="#,##0.00">
                  <c:v>57.802500000000009</c:v>
                </c:pt>
                <c:pt idx="10" formatCode="#,##0.00">
                  <c:v>57.977500000000013</c:v>
                </c:pt>
                <c:pt idx="11" formatCode="#,##0.00">
                  <c:v>58.106666666666676</c:v>
                </c:pt>
                <c:pt idx="12" formatCode="#,##0.00">
                  <c:v>58.239166666666669</c:v>
                </c:pt>
                <c:pt idx="13" formatCode="#,##0.00">
                  <c:v>58.363333333333323</c:v>
                </c:pt>
                <c:pt idx="14" formatCode="#,##0.00">
                  <c:v>58.48749999999999</c:v>
                </c:pt>
                <c:pt idx="15" formatCode="#,##0.00">
                  <c:v>58.623333333333335</c:v>
                </c:pt>
                <c:pt idx="16" formatCode="#,##0.00">
                  <c:v>58.801666666666669</c:v>
                </c:pt>
                <c:pt idx="17" formatCode="#,##0.00">
                  <c:v>58.955833333333338</c:v>
                </c:pt>
                <c:pt idx="18" formatCode="#,##0.00">
                  <c:v>59.104999999999997</c:v>
                </c:pt>
                <c:pt idx="19" formatCode="#,##0.00">
                  <c:v>59.310833333333335</c:v>
                </c:pt>
                <c:pt idx="20" formatCode="#,##0.00">
                  <c:v>59.535833333333336</c:v>
                </c:pt>
                <c:pt idx="21" formatCode="#,##0.00">
                  <c:v>59.847500000000004</c:v>
                </c:pt>
                <c:pt idx="22" formatCode="#,##0.00">
                  <c:v>60.18416666666667</c:v>
                </c:pt>
                <c:pt idx="23" formatCode="#,##0.00">
                  <c:v>60.577500000000008</c:v>
                </c:pt>
                <c:pt idx="24" formatCode="#,##0.00">
                  <c:v>60.98</c:v>
                </c:pt>
                <c:pt idx="25" formatCode="#,##0.00">
                  <c:v>61.421666666666674</c:v>
                </c:pt>
                <c:pt idx="26" formatCode="#,##0.00">
                  <c:v>61.825833333333343</c:v>
                </c:pt>
                <c:pt idx="27" formatCode="#,##0.00">
                  <c:v>62.204999999999991</c:v>
                </c:pt>
                <c:pt idx="28" formatCode="#,##0.00">
                  <c:v>62.633333333333333</c:v>
                </c:pt>
                <c:pt idx="29" formatCode="#,##0.00">
                  <c:v>63.103333333333332</c:v>
                </c:pt>
                <c:pt idx="30" formatCode="#,##0.00">
                  <c:v>63.592500000000001</c:v>
                </c:pt>
                <c:pt idx="31" formatCode="#,##0.00">
                  <c:v>64.131666666666661</c:v>
                </c:pt>
                <c:pt idx="32" formatCode="#,##0.00">
                  <c:v>64.767499999999998</c:v>
                </c:pt>
                <c:pt idx="33" formatCode="#,##0.00">
                  <c:v>65.390833333333333</c:v>
                </c:pt>
                <c:pt idx="34" formatCode="#,##0.00">
                  <c:v>66.122499999999988</c:v>
                </c:pt>
                <c:pt idx="35" formatCode="#,##0.00">
                  <c:v>66.871666666666655</c:v>
                </c:pt>
                <c:pt idx="36" formatCode="#,##0.00">
                  <c:v>67.666666666666657</c:v>
                </c:pt>
                <c:pt idx="37" formatCode="#,##0.00">
                  <c:v>68.55083333333333</c:v>
                </c:pt>
                <c:pt idx="38" formatCode="#,##0.00">
                  <c:v>69.513333333333321</c:v>
                </c:pt>
                <c:pt idx="39" formatCode="#,##0.00">
                  <c:v>70.554999999999993</c:v>
                </c:pt>
                <c:pt idx="40" formatCode="#,##0.00">
                  <c:v>71.61999999999999</c:v>
                </c:pt>
                <c:pt idx="41" formatCode="#,##0.00">
                  <c:v>72.894999999999996</c:v>
                </c:pt>
                <c:pt idx="42" formatCode="#,##0.00">
                  <c:v>74.355000000000004</c:v>
                </c:pt>
                <c:pt idx="43" formatCode="#,##0.00">
                  <c:v>75.905000000000001</c:v>
                </c:pt>
                <c:pt idx="44" formatCode="#,##0.00">
                  <c:v>77.336666666666673</c:v>
                </c:pt>
                <c:pt idx="45" formatCode="#,##0.00">
                  <c:v>78.659166666666678</c:v>
                </c:pt>
                <c:pt idx="46" formatCode="#,##0.00">
                  <c:v>79.94083333333333</c:v>
                </c:pt>
                <c:pt idx="47" formatCode="#,##0.00">
                  <c:v>81.198333333333323</c:v>
                </c:pt>
                <c:pt idx="48" formatCode="#,##0.00">
                  <c:v>82.48</c:v>
                </c:pt>
                <c:pt idx="49" formatCode="#,##0.00">
                  <c:v>83.694166666666661</c:v>
                </c:pt>
                <c:pt idx="50" formatCode="#,##0.00">
                  <c:v>84.94916666666667</c:v>
                </c:pt>
                <c:pt idx="51" formatCode="#,##0.00">
                  <c:v>86.13666666666667</c:v>
                </c:pt>
                <c:pt idx="52" formatCode="#,##0.00">
                  <c:v>87.281666666666652</c:v>
                </c:pt>
                <c:pt idx="53" formatCode="#,##0.00">
                  <c:v>88.19083333333333</c:v>
                </c:pt>
                <c:pt idx="54" formatCode="#,##0.00">
                  <c:v>88.867499999999993</c:v>
                </c:pt>
                <c:pt idx="55" formatCode="#,##0.00">
                  <c:v>89.424166666666665</c:v>
                </c:pt>
                <c:pt idx="56" formatCode="#,##0.00">
                  <c:v>90.036666666666676</c:v>
                </c:pt>
                <c:pt idx="57" formatCode="#,##0.00">
                  <c:v>90.75833333333334</c:v>
                </c:pt>
                <c:pt idx="58" formatCode="#,##0.00">
                  <c:v>91.407500000000013</c:v>
                </c:pt>
                <c:pt idx="59" formatCode="#,##0.00">
                  <c:v>92.054166666666674</c:v>
                </c:pt>
                <c:pt idx="60" formatCode="#,##0.00">
                  <c:v>92.63333333333334</c:v>
                </c:pt>
                <c:pt idx="61" formatCode="#,##0.00">
                  <c:v>93.242500000000021</c:v>
                </c:pt>
                <c:pt idx="62" formatCode="#,##0.00">
                  <c:v>93.760833333333338</c:v>
                </c:pt>
                <c:pt idx="63" formatCode="#,##0.00">
                  <c:v>94.269166666666663</c:v>
                </c:pt>
                <c:pt idx="64" formatCode="#,##0.00">
                  <c:v>94.789166666666688</c:v>
                </c:pt>
                <c:pt idx="65" formatCode="#,##0.00">
                  <c:v>95.444166666666661</c:v>
                </c:pt>
                <c:pt idx="66" formatCode="#,##0.00">
                  <c:v>96.269166666666663</c:v>
                </c:pt>
                <c:pt idx="67" formatCode="#,##0.00">
                  <c:v>97.307500000000005</c:v>
                </c:pt>
                <c:pt idx="68" formatCode="#,##0.00">
                  <c:v>98.578333333333333</c:v>
                </c:pt>
                <c:pt idx="69" formatCode="#,##0.00">
                  <c:v>100.00083333333333</c:v>
                </c:pt>
                <c:pt idx="70" formatCode="#,##0.00">
                  <c:v>101.58583333333333</c:v>
                </c:pt>
                <c:pt idx="71" formatCode="#,##0.00">
                  <c:v>103.29916666666668</c:v>
                </c:pt>
                <c:pt idx="72" formatCode="#,##0.00">
                  <c:v>105.12583333333335</c:v>
                </c:pt>
                <c:pt idx="73" formatCode="#,##0.00">
                  <c:v>107.07916666666667</c:v>
                </c:pt>
                <c:pt idx="74" formatCode="#,##0.00">
                  <c:v>109.29083333333334</c:v>
                </c:pt>
                <c:pt idx="75" formatCode="#,##0.00">
                  <c:v>111.92916666666667</c:v>
                </c:pt>
                <c:pt idx="76" formatCode="#,##0.00">
                  <c:v>114.8325</c:v>
                </c:pt>
                <c:pt idx="77" formatCode="#,##0.00">
                  <c:v>117.72416666666668</c:v>
                </c:pt>
                <c:pt idx="78" formatCode="#,##0.00">
                  <c:v>120.67750000000001</c:v>
                </c:pt>
                <c:pt idx="79" formatCode="#,##0.00">
                  <c:v>124.00750000000001</c:v>
                </c:pt>
                <c:pt idx="80" formatCode="#,##0.00">
                  <c:v>128.26833333333332</c:v>
                </c:pt>
                <c:pt idx="81" formatCode="#,##0.00">
                  <c:v>134.22583333333333</c:v>
                </c:pt>
                <c:pt idx="82" formatCode="#,##0.00">
                  <c:v>141.95250000000001</c:v>
                </c:pt>
                <c:pt idx="83" formatCode="#,##0.00">
                  <c:v>151.07750000000001</c:v>
                </c:pt>
                <c:pt idx="84" formatCode="#,##0.00">
                  <c:v>162.45166666666668</c:v>
                </c:pt>
                <c:pt idx="85" formatCode="#,##0.00">
                  <c:v>175.16250000000002</c:v>
                </c:pt>
                <c:pt idx="86" formatCode="#,##0.00">
                  <c:v>188.76499999999999</c:v>
                </c:pt>
                <c:pt idx="87" formatCode="#,##0.00">
                  <c:v>203.85749999999999</c:v>
                </c:pt>
                <c:pt idx="88" formatCode="#,##0.00">
                  <c:v>219.12083333333337</c:v>
                </c:pt>
                <c:pt idx="89" formatCode="#,##0.00">
                  <c:v>234.85749999999999</c:v>
                </c:pt>
                <c:pt idx="90" formatCode="#,##0.00">
                  <c:v>251.38666666666666</c:v>
                </c:pt>
                <c:pt idx="91" formatCode="#,##0.00">
                  <c:v>268.02833333333336</c:v>
                </c:pt>
                <c:pt idx="92" formatCode="#,##0.00">
                  <c:v>283.86416666666668</c:v>
                </c:pt>
                <c:pt idx="93" formatCode="#,##0.00">
                  <c:v>297.72416666666669</c:v>
                </c:pt>
                <c:pt idx="94" formatCode="#,##0.00">
                  <c:v>310.39916666666664</c:v>
                </c:pt>
                <c:pt idx="95" formatCode="#,##0.00">
                  <c:v>321.59333333333331</c:v>
                </c:pt>
                <c:pt idx="96" formatCode="#,##0.00">
                  <c:v>330.74333333333334</c:v>
                </c:pt>
                <c:pt idx="97" formatCode="#,##0.00">
                  <c:v>338.40000000000003</c:v>
                </c:pt>
                <c:pt idx="98" formatCode="#,##0.00">
                  <c:v>344.9641666666667</c:v>
                </c:pt>
                <c:pt idx="99" formatCode="#,##0.00">
                  <c:v>351.05333333333328</c:v>
                </c:pt>
                <c:pt idx="100" formatCode="#,##0.00">
                  <c:v>359.1275</c:v>
                </c:pt>
                <c:pt idx="101" formatCode="#,##0.00">
                  <c:v>369.25666666666666</c:v>
                </c:pt>
                <c:pt idx="102" formatCode="#,##0.00">
                  <c:v>379.42333333333335</c:v>
                </c:pt>
                <c:pt idx="103" formatCode="#,##0.00">
                  <c:v>389.64333333333326</c:v>
                </c:pt>
                <c:pt idx="104" formatCode="#,##0.00">
                  <c:v>399.89416666666671</c:v>
                </c:pt>
                <c:pt idx="105" formatCode="#,##0.00">
                  <c:v>411.18000000000006</c:v>
                </c:pt>
                <c:pt idx="106" formatCode="#,##0.00">
                  <c:v>424.66833333333329</c:v>
                </c:pt>
                <c:pt idx="107" formatCode="#,##0.00">
                  <c:v>439.63499999999999</c:v>
                </c:pt>
                <c:pt idx="108" formatCode="#,##0.00">
                  <c:v>454.77666666666659</c:v>
                </c:pt>
                <c:pt idx="109" formatCode="#,##0.00">
                  <c:v>470.63833333333332</c:v>
                </c:pt>
                <c:pt idx="110" formatCode="#,##0.00">
                  <c:v>486.8125</c:v>
                </c:pt>
                <c:pt idx="111" formatCode="#,##0.00">
                  <c:v>501.98583333333346</c:v>
                </c:pt>
                <c:pt idx="112" formatCode="#,##0.00">
                  <c:v>516.28833333333341</c:v>
                </c:pt>
                <c:pt idx="113" formatCode="#,##0.00">
                  <c:v>528.60666666666668</c:v>
                </c:pt>
                <c:pt idx="114" formatCode="#,##0.00">
                  <c:v>540.73833333333334</c:v>
                </c:pt>
                <c:pt idx="115" formatCode="#,##0.00">
                  <c:v>553.42750000000001</c:v>
                </c:pt>
                <c:pt idx="116" formatCode="#,##0.00">
                  <c:v>566.39333333333343</c:v>
                </c:pt>
                <c:pt idx="117" formatCode="#,##0.00">
                  <c:v>579.50333333333344</c:v>
                </c:pt>
                <c:pt idx="118" formatCode="#,##0.00">
                  <c:v>592.73083333333329</c:v>
                </c:pt>
                <c:pt idx="119" formatCode="#,##0.00">
                  <c:v>605.72916666666663</c:v>
                </c:pt>
                <c:pt idx="120" formatCode="#,##0.00">
                  <c:v>619.245</c:v>
                </c:pt>
                <c:pt idx="121" formatCode="#,##0.00">
                  <c:v>633.17666666666673</c:v>
                </c:pt>
                <c:pt idx="122" formatCode="#,##0.00">
                  <c:v>648.0100000000001</c:v>
                </c:pt>
                <c:pt idx="123" formatCode="#,##0.00">
                  <c:v>663.95833333333314</c:v>
                </c:pt>
                <c:pt idx="124" formatCode="#,##0.00">
                  <c:v>680.61749999999995</c:v>
                </c:pt>
                <c:pt idx="125" formatCode="#,##0.00">
                  <c:v>697.44583333333321</c:v>
                </c:pt>
                <c:pt idx="126" formatCode="#,##0.00">
                  <c:v>714.82666666666671</c:v>
                </c:pt>
                <c:pt idx="127" formatCode="#,##0.00">
                  <c:v>732.20499999999993</c:v>
                </c:pt>
                <c:pt idx="128" formatCode="#,##0.00">
                  <c:v>750.12749999999994</c:v>
                </c:pt>
                <c:pt idx="129" formatCode="#,##0.00">
                  <c:v>767.84999999999991</c:v>
                </c:pt>
                <c:pt idx="130" formatCode="#,##0.00">
                  <c:v>785.16750000000002</c:v>
                </c:pt>
                <c:pt idx="131" formatCode="#,##0.00">
                  <c:v>803.44916666666677</c:v>
                </c:pt>
                <c:pt idx="132" formatCode="#,##0.00">
                  <c:v>823.65833333333342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562-4A4F-9CEC-F7229D8CE5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1650879"/>
        <c:axId val="1380169279"/>
      </c:areaChart>
      <c:dateAx>
        <c:axId val="1391650879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380169279"/>
        <c:crosses val="autoZero"/>
        <c:auto val="1"/>
        <c:lblOffset val="100"/>
        <c:baseTimeUnit val="months"/>
      </c:dateAx>
      <c:valAx>
        <c:axId val="1380169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3916508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Log!$B$1</c:f>
              <c:strCache>
                <c:ptCount val="1"/>
                <c:pt idx="0">
                  <c:v>Tarımsal Girdi Fiyat Logu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Log!$A$2:$A$136</c:f>
              <c:numCache>
                <c:formatCode>m/d/yy</c:formatCode>
                <c:ptCount val="135"/>
                <c:pt idx="0">
                  <c:v>42005</c:v>
                </c:pt>
                <c:pt idx="1">
                  <c:v>42036</c:v>
                </c:pt>
                <c:pt idx="2">
                  <c:v>42064</c:v>
                </c:pt>
                <c:pt idx="3">
                  <c:v>42095</c:v>
                </c:pt>
                <c:pt idx="4">
                  <c:v>42125</c:v>
                </c:pt>
                <c:pt idx="5">
                  <c:v>42156</c:v>
                </c:pt>
                <c:pt idx="6">
                  <c:v>42186</c:v>
                </c:pt>
                <c:pt idx="7">
                  <c:v>42217</c:v>
                </c:pt>
                <c:pt idx="8">
                  <c:v>42248</c:v>
                </c:pt>
                <c:pt idx="9">
                  <c:v>42278</c:v>
                </c:pt>
                <c:pt idx="10">
                  <c:v>42309</c:v>
                </c:pt>
                <c:pt idx="11">
                  <c:v>42339</c:v>
                </c:pt>
                <c:pt idx="12">
                  <c:v>42370</c:v>
                </c:pt>
                <c:pt idx="13">
                  <c:v>42401</c:v>
                </c:pt>
                <c:pt idx="14">
                  <c:v>42430</c:v>
                </c:pt>
                <c:pt idx="15">
                  <c:v>42461</c:v>
                </c:pt>
                <c:pt idx="16">
                  <c:v>42491</c:v>
                </c:pt>
                <c:pt idx="17">
                  <c:v>42522</c:v>
                </c:pt>
                <c:pt idx="18">
                  <c:v>42552</c:v>
                </c:pt>
                <c:pt idx="19">
                  <c:v>42583</c:v>
                </c:pt>
                <c:pt idx="20">
                  <c:v>42614</c:v>
                </c:pt>
                <c:pt idx="21">
                  <c:v>42644</c:v>
                </c:pt>
                <c:pt idx="22">
                  <c:v>42675</c:v>
                </c:pt>
                <c:pt idx="23">
                  <c:v>42705</c:v>
                </c:pt>
                <c:pt idx="24">
                  <c:v>42736</c:v>
                </c:pt>
                <c:pt idx="25">
                  <c:v>42767</c:v>
                </c:pt>
                <c:pt idx="26">
                  <c:v>42795</c:v>
                </c:pt>
                <c:pt idx="27">
                  <c:v>42826</c:v>
                </c:pt>
                <c:pt idx="28">
                  <c:v>42856</c:v>
                </c:pt>
                <c:pt idx="29">
                  <c:v>42887</c:v>
                </c:pt>
                <c:pt idx="30">
                  <c:v>42917</c:v>
                </c:pt>
                <c:pt idx="31">
                  <c:v>42948</c:v>
                </c:pt>
                <c:pt idx="32">
                  <c:v>42979</c:v>
                </c:pt>
                <c:pt idx="33">
                  <c:v>43009</c:v>
                </c:pt>
                <c:pt idx="34">
                  <c:v>43040</c:v>
                </c:pt>
                <c:pt idx="35">
                  <c:v>43070</c:v>
                </c:pt>
                <c:pt idx="36">
                  <c:v>43101</c:v>
                </c:pt>
                <c:pt idx="37">
                  <c:v>43132</c:v>
                </c:pt>
                <c:pt idx="38">
                  <c:v>43160</c:v>
                </c:pt>
                <c:pt idx="39">
                  <c:v>43191</c:v>
                </c:pt>
                <c:pt idx="40">
                  <c:v>43221</c:v>
                </c:pt>
                <c:pt idx="41">
                  <c:v>43252</c:v>
                </c:pt>
                <c:pt idx="42">
                  <c:v>43282</c:v>
                </c:pt>
                <c:pt idx="43">
                  <c:v>43313</c:v>
                </c:pt>
                <c:pt idx="44">
                  <c:v>43344</c:v>
                </c:pt>
                <c:pt idx="45">
                  <c:v>43374</c:v>
                </c:pt>
                <c:pt idx="46">
                  <c:v>43405</c:v>
                </c:pt>
                <c:pt idx="47">
                  <c:v>43435</c:v>
                </c:pt>
                <c:pt idx="48">
                  <c:v>43466</c:v>
                </c:pt>
                <c:pt idx="49">
                  <c:v>43497</c:v>
                </c:pt>
                <c:pt idx="50">
                  <c:v>43525</c:v>
                </c:pt>
                <c:pt idx="51">
                  <c:v>43556</c:v>
                </c:pt>
                <c:pt idx="52">
                  <c:v>43586</c:v>
                </c:pt>
                <c:pt idx="53">
                  <c:v>43617</c:v>
                </c:pt>
                <c:pt idx="54">
                  <c:v>43647</c:v>
                </c:pt>
                <c:pt idx="55">
                  <c:v>43678</c:v>
                </c:pt>
                <c:pt idx="56">
                  <c:v>43709</c:v>
                </c:pt>
                <c:pt idx="57">
                  <c:v>43739</c:v>
                </c:pt>
                <c:pt idx="58">
                  <c:v>43770</c:v>
                </c:pt>
                <c:pt idx="59">
                  <c:v>43800</c:v>
                </c:pt>
                <c:pt idx="60">
                  <c:v>43831</c:v>
                </c:pt>
                <c:pt idx="61">
                  <c:v>43862</c:v>
                </c:pt>
                <c:pt idx="62">
                  <c:v>43891</c:v>
                </c:pt>
                <c:pt idx="63">
                  <c:v>43922</c:v>
                </c:pt>
                <c:pt idx="64">
                  <c:v>43952</c:v>
                </c:pt>
                <c:pt idx="65">
                  <c:v>43983</c:v>
                </c:pt>
                <c:pt idx="66">
                  <c:v>44013</c:v>
                </c:pt>
                <c:pt idx="67">
                  <c:v>44044</c:v>
                </c:pt>
                <c:pt idx="68">
                  <c:v>44075</c:v>
                </c:pt>
                <c:pt idx="69">
                  <c:v>44105</c:v>
                </c:pt>
                <c:pt idx="70">
                  <c:v>44136</c:v>
                </c:pt>
                <c:pt idx="71">
                  <c:v>44166</c:v>
                </c:pt>
                <c:pt idx="72">
                  <c:v>44197</c:v>
                </c:pt>
                <c:pt idx="73">
                  <c:v>44228</c:v>
                </c:pt>
                <c:pt idx="74">
                  <c:v>44256</c:v>
                </c:pt>
                <c:pt idx="75">
                  <c:v>44287</c:v>
                </c:pt>
                <c:pt idx="76">
                  <c:v>44317</c:v>
                </c:pt>
                <c:pt idx="77">
                  <c:v>44348</c:v>
                </c:pt>
                <c:pt idx="78">
                  <c:v>44378</c:v>
                </c:pt>
                <c:pt idx="79">
                  <c:v>44409</c:v>
                </c:pt>
                <c:pt idx="80">
                  <c:v>44440</c:v>
                </c:pt>
                <c:pt idx="81">
                  <c:v>44470</c:v>
                </c:pt>
                <c:pt idx="82">
                  <c:v>44501</c:v>
                </c:pt>
                <c:pt idx="83">
                  <c:v>44531</c:v>
                </c:pt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</c:numCache>
            </c:numRef>
          </c:cat>
          <c:val>
            <c:numRef>
              <c:f>Log!$B$2:$B$136</c:f>
              <c:numCache>
                <c:formatCode>#,##0.00</c:formatCode>
                <c:ptCount val="135"/>
                <c:pt idx="0">
                  <c:v>4.0405921062228538</c:v>
                </c:pt>
                <c:pt idx="1">
                  <c:v>4.0472529546882505</c:v>
                </c:pt>
                <c:pt idx="2">
                  <c:v>4.050392674692918</c:v>
                </c:pt>
                <c:pt idx="3">
                  <c:v>4.0524803581234021</c:v>
                </c:pt>
                <c:pt idx="4">
                  <c:v>4.0592353851085328</c:v>
                </c:pt>
                <c:pt idx="5">
                  <c:v>4.0600981234935096</c:v>
                </c:pt>
                <c:pt idx="6">
                  <c:v>4.0550838482687981</c:v>
                </c:pt>
                <c:pt idx="7">
                  <c:v>4.0590627480774613</c:v>
                </c:pt>
                <c:pt idx="8">
                  <c:v>4.0657736052340647</c:v>
                </c:pt>
                <c:pt idx="9">
                  <c:v>4.064228938317477</c:v>
                </c:pt>
                <c:pt idx="10">
                  <c:v>4.0659450877004026</c:v>
                </c:pt>
                <c:pt idx="11">
                  <c:v>4.0638853547373923</c:v>
                </c:pt>
                <c:pt idx="12">
                  <c:v>4.0768592478810808</c:v>
                </c:pt>
                <c:pt idx="13">
                  <c:v>4.073971772414164</c:v>
                </c:pt>
                <c:pt idx="14">
                  <c:v>4.0777069210690771</c:v>
                </c:pt>
                <c:pt idx="15">
                  <c:v>4.0780457892525979</c:v>
                </c:pt>
                <c:pt idx="16">
                  <c:v>4.084630870034462</c:v>
                </c:pt>
                <c:pt idx="17">
                  <c:v>4.0878233452318353</c:v>
                </c:pt>
                <c:pt idx="18">
                  <c:v>4.0915072074019401</c:v>
                </c:pt>
                <c:pt idx="19">
                  <c:v>4.0905038628361625</c:v>
                </c:pt>
                <c:pt idx="20">
                  <c:v>4.0960098415411617</c:v>
                </c:pt>
                <c:pt idx="21">
                  <c:v>4.105778939847764</c:v>
                </c:pt>
                <c:pt idx="22">
                  <c:v>4.1112016792885235</c:v>
                </c:pt>
                <c:pt idx="23">
                  <c:v>4.1261661745450571</c:v>
                </c:pt>
                <c:pt idx="24">
                  <c:v>4.1431347263915326</c:v>
                </c:pt>
                <c:pt idx="25">
                  <c:v>4.1511973738148837</c:v>
                </c:pt>
                <c:pt idx="26">
                  <c:v>4.1563799531415535</c:v>
                </c:pt>
                <c:pt idx="27">
                  <c:v>4.1640260854229085</c:v>
                </c:pt>
                <c:pt idx="28">
                  <c:v>4.1630929593831949</c:v>
                </c:pt>
                <c:pt idx="29">
                  <c:v>4.1613799635582591</c:v>
                </c:pt>
                <c:pt idx="30">
                  <c:v>4.1739256248924397</c:v>
                </c:pt>
                <c:pt idx="31">
                  <c:v>4.1806751519731211</c:v>
                </c:pt>
                <c:pt idx="32">
                  <c:v>4.1892000932347795</c:v>
                </c:pt>
                <c:pt idx="33">
                  <c:v>4.2070778322093396</c:v>
                </c:pt>
                <c:pt idx="34">
                  <c:v>4.2290211322139806</c:v>
                </c:pt>
                <c:pt idx="35">
                  <c:v>4.2401750104336404</c:v>
                </c:pt>
                <c:pt idx="36">
                  <c:v>4.2736058857194612</c:v>
                </c:pt>
                <c:pt idx="37">
                  <c:v>4.2835865618606288</c:v>
                </c:pt>
                <c:pt idx="38">
                  <c:v>4.295651418927136</c:v>
                </c:pt>
                <c:pt idx="39">
                  <c:v>4.3166877933655412</c:v>
                </c:pt>
                <c:pt idx="40">
                  <c:v>4.3283621100881886</c:v>
                </c:pt>
                <c:pt idx="41">
                  <c:v>4.3393800599524086</c:v>
                </c:pt>
                <c:pt idx="42">
                  <c:v>4.3534985510593431</c:v>
                </c:pt>
                <c:pt idx="43">
                  <c:v>4.3908624833362806</c:v>
                </c:pt>
                <c:pt idx="44">
                  <c:v>4.4247268642059092</c:v>
                </c:pt>
                <c:pt idx="45">
                  <c:v>4.4515526973224917</c:v>
                </c:pt>
                <c:pt idx="46">
                  <c:v>4.4523685957301282</c:v>
                </c:pt>
                <c:pt idx="47">
                  <c:v>4.4460572143310184</c:v>
                </c:pt>
                <c:pt idx="48">
                  <c:v>4.4677455100764192</c:v>
                </c:pt>
                <c:pt idx="49">
                  <c:v>4.4726668361749979</c:v>
                </c:pt>
                <c:pt idx="50">
                  <c:v>4.4859360980643936</c:v>
                </c:pt>
                <c:pt idx="51">
                  <c:v>4.494350350882848</c:v>
                </c:pt>
                <c:pt idx="52">
                  <c:v>4.5095399549728414</c:v>
                </c:pt>
                <c:pt idx="53">
                  <c:v>4.5098700061337667</c:v>
                </c:pt>
                <c:pt idx="54">
                  <c:v>4.5162296766914443</c:v>
                </c:pt>
                <c:pt idx="55">
                  <c:v>4.5176495884585961</c:v>
                </c:pt>
                <c:pt idx="56">
                  <c:v>4.517540436027117</c:v>
                </c:pt>
                <c:pt idx="57">
                  <c:v>4.5265597854061799</c:v>
                </c:pt>
                <c:pt idx="58">
                  <c:v>4.5345331063886505</c:v>
                </c:pt>
                <c:pt idx="59">
                  <c:v>4.5427627258594745</c:v>
                </c:pt>
                <c:pt idx="60">
                  <c:v>4.5533504372582954</c:v>
                </c:pt>
                <c:pt idx="61">
                  <c:v>4.5575543320464282</c:v>
                </c:pt>
                <c:pt idx="62">
                  <c:v>4.5613227862078149</c:v>
                </c:pt>
                <c:pt idx="63">
                  <c:v>4.5728535845115479</c:v>
                </c:pt>
                <c:pt idx="64">
                  <c:v>4.5757413752972793</c:v>
                </c:pt>
                <c:pt idx="65">
                  <c:v>4.5748140659731922</c:v>
                </c:pt>
                <c:pt idx="66">
                  <c:v>4.5822085743507444</c:v>
                </c:pt>
                <c:pt idx="67">
                  <c:v>4.5999566189352041</c:v>
                </c:pt>
                <c:pt idx="68">
                  <c:v>4.62015731579634</c:v>
                </c:pt>
                <c:pt idx="69">
                  <c:v>4.6530075154022512</c:v>
                </c:pt>
                <c:pt idx="70">
                  <c:v>4.6861048034840902</c:v>
                </c:pt>
                <c:pt idx="71">
                  <c:v>4.7097103652620156</c:v>
                </c:pt>
                <c:pt idx="72">
                  <c:v>4.735935255867644</c:v>
                </c:pt>
                <c:pt idx="73">
                  <c:v>4.7528140279006532</c:v>
                </c:pt>
                <c:pt idx="74">
                  <c:v>4.7675441049723499</c:v>
                </c:pt>
                <c:pt idx="75">
                  <c:v>4.7896560656114229</c:v>
                </c:pt>
                <c:pt idx="76">
                  <c:v>4.817374117263916</c:v>
                </c:pt>
                <c:pt idx="77">
                  <c:v>4.857250987196899</c:v>
                </c:pt>
                <c:pt idx="78">
                  <c:v>4.8871108078107586</c:v>
                </c:pt>
                <c:pt idx="79">
                  <c:v>4.8991821821347417</c:v>
                </c:pt>
                <c:pt idx="80">
                  <c:v>4.9196158957090868</c:v>
                </c:pt>
                <c:pt idx="81">
                  <c:v>4.97576775876718</c:v>
                </c:pt>
                <c:pt idx="82">
                  <c:v>5.0724200270372055</c:v>
                </c:pt>
                <c:pt idx="83">
                  <c:v>5.2068049660419291</c:v>
                </c:pt>
                <c:pt idx="84">
                  <c:v>5.3312200862237447</c:v>
                </c:pt>
                <c:pt idx="85">
                  <c:v>5.4179209661938685</c:v>
                </c:pt>
                <c:pt idx="86">
                  <c:v>5.5378065963983323</c:v>
                </c:pt>
                <c:pt idx="87">
                  <c:v>5.6087022684059313</c:v>
                </c:pt>
                <c:pt idx="88">
                  <c:v>5.6590291514690199</c:v>
                </c:pt>
                <c:pt idx="89">
                  <c:v>5.735862368119613</c:v>
                </c:pt>
                <c:pt idx="90">
                  <c:v>5.7548874179734693</c:v>
                </c:pt>
                <c:pt idx="91">
                  <c:v>5.7777142408103668</c:v>
                </c:pt>
                <c:pt idx="92">
                  <c:v>5.8150256534721825</c:v>
                </c:pt>
                <c:pt idx="93">
                  <c:v>5.842268240745855</c:v>
                </c:pt>
                <c:pt idx="94">
                  <c:v>5.8567610392532812</c:v>
                </c:pt>
                <c:pt idx="95">
                  <c:v>5.8545846975105595</c:v>
                </c:pt>
                <c:pt idx="96">
                  <c:v>5.8827372591162019</c:v>
                </c:pt>
                <c:pt idx="97">
                  <c:v>5.8853815482998248</c:v>
                </c:pt>
                <c:pt idx="98">
                  <c:v>5.8969340632617486</c:v>
                </c:pt>
                <c:pt idx="99">
                  <c:v>5.8989928350398646</c:v>
                </c:pt>
                <c:pt idx="100">
                  <c:v>5.9016492427856182</c:v>
                </c:pt>
                <c:pt idx="101">
                  <c:v>5.9476432675591324</c:v>
                </c:pt>
                <c:pt idx="102">
                  <c:v>6.0225270725598001</c:v>
                </c:pt>
                <c:pt idx="103">
                  <c:v>6.0971075228701972</c:v>
                </c:pt>
                <c:pt idx="104">
                  <c:v>6.1253396306640093</c:v>
                </c:pt>
                <c:pt idx="105">
                  <c:v>6.1467574315140174</c:v>
                </c:pt>
                <c:pt idx="106">
                  <c:v>6.1582493647528072</c:v>
                </c:pt>
                <c:pt idx="107">
                  <c:v>6.182621952564336</c:v>
                </c:pt>
                <c:pt idx="108">
                  <c:v>6.2550780309759046</c:v>
                </c:pt>
                <c:pt idx="109">
                  <c:v>6.2903461698133629</c:v>
                </c:pt>
                <c:pt idx="110">
                  <c:v>6.3019227627489007</c:v>
                </c:pt>
                <c:pt idx="111">
                  <c:v>6.3189861316021299</c:v>
                </c:pt>
                <c:pt idx="112">
                  <c:v>6.3274545246038114</c:v>
                </c:pt>
                <c:pt idx="113">
                  <c:v>6.3367018296656594</c:v>
                </c:pt>
                <c:pt idx="114">
                  <c:v>6.3703289734189674</c:v>
                </c:pt>
                <c:pt idx="115">
                  <c:v>6.3841652017650086</c:v>
                </c:pt>
                <c:pt idx="116">
                  <c:v>6.4017181719479437</c:v>
                </c:pt>
                <c:pt idx="117">
                  <c:v>6.4288642737464921</c:v>
                </c:pt>
                <c:pt idx="118">
                  <c:v>6.4428426684805515</c:v>
                </c:pt>
                <c:pt idx="119">
                  <c:v>6.4639338839966207</c:v>
                </c:pt>
                <c:pt idx="120">
                  <c:v>6.5211806175540028</c:v>
                </c:pt>
                <c:pt idx="121">
                  <c:v>6.5443721712533396</c:v>
                </c:pt>
                <c:pt idx="122">
                  <c:v>6.5621756960963857</c:v>
                </c:pt>
                <c:pt idx="123">
                  <c:v>6.582288262167598</c:v>
                </c:pt>
                <c:pt idx="124">
                  <c:v>6.6035779040011588</c:v>
                </c:pt>
                <c:pt idx="125">
                  <c:v>6.6284513450408671</c:v>
                </c:pt>
                <c:pt idx="126">
                  <c:v>6.664613081161237</c:v>
                </c:pt>
                <c:pt idx="127">
                  <c:v>6.6774989920307242</c:v>
                </c:pt>
                <c:pt idx="128">
                  <c:v>6.6988227707618906</c:v>
                </c:pt>
                <c:pt idx="129">
                  <c:v>6.7190252316070156</c:v>
                </c:pt>
                <c:pt idx="130">
                  <c:v>6.7372753327507793</c:v>
                </c:pt>
                <c:pt idx="131">
                  <c:v>6.7502238909954011</c:v>
                </c:pt>
                <c:pt idx="132">
                  <c:v>6.7880591645569446</c:v>
                </c:pt>
                <c:pt idx="133">
                  <c:v>6.8185961426623187</c:v>
                </c:pt>
                <c:pt idx="134">
                  <c:v>6.8567987699812845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08-A149-9BF8-887F710DC5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1468415"/>
        <c:axId val="1391463039"/>
      </c:areaChart>
      <c:dateAx>
        <c:axId val="1391468415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391463039"/>
        <c:crosses val="autoZero"/>
        <c:auto val="1"/>
        <c:lblOffset val="100"/>
        <c:baseTimeUnit val="months"/>
      </c:dateAx>
      <c:valAx>
        <c:axId val="1391463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391468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Aylık Değişim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Log!$C$1:$C$2</c:f>
              <c:strCache>
                <c:ptCount val="2"/>
                <c:pt idx="0">
                  <c:v>Aylık Mutlak Değişim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Log!$A$3:$A$136</c:f>
              <c:numCache>
                <c:formatCode>m/d/yy</c:formatCode>
                <c:ptCount val="134"/>
                <c:pt idx="0">
                  <c:v>42036</c:v>
                </c:pt>
                <c:pt idx="1">
                  <c:v>42064</c:v>
                </c:pt>
                <c:pt idx="2">
                  <c:v>42095</c:v>
                </c:pt>
                <c:pt idx="3">
                  <c:v>42125</c:v>
                </c:pt>
                <c:pt idx="4">
                  <c:v>42156</c:v>
                </c:pt>
                <c:pt idx="5">
                  <c:v>42186</c:v>
                </c:pt>
                <c:pt idx="6">
                  <c:v>42217</c:v>
                </c:pt>
                <c:pt idx="7">
                  <c:v>42248</c:v>
                </c:pt>
                <c:pt idx="8">
                  <c:v>42278</c:v>
                </c:pt>
                <c:pt idx="9">
                  <c:v>42309</c:v>
                </c:pt>
                <c:pt idx="10">
                  <c:v>42339</c:v>
                </c:pt>
                <c:pt idx="11">
                  <c:v>42370</c:v>
                </c:pt>
                <c:pt idx="12">
                  <c:v>42401</c:v>
                </c:pt>
                <c:pt idx="13">
                  <c:v>42430</c:v>
                </c:pt>
                <c:pt idx="14">
                  <c:v>42461</c:v>
                </c:pt>
                <c:pt idx="15">
                  <c:v>42491</c:v>
                </c:pt>
                <c:pt idx="16">
                  <c:v>42522</c:v>
                </c:pt>
                <c:pt idx="17">
                  <c:v>42552</c:v>
                </c:pt>
                <c:pt idx="18">
                  <c:v>42583</c:v>
                </c:pt>
                <c:pt idx="19">
                  <c:v>42614</c:v>
                </c:pt>
                <c:pt idx="20">
                  <c:v>42644</c:v>
                </c:pt>
                <c:pt idx="21">
                  <c:v>42675</c:v>
                </c:pt>
                <c:pt idx="22">
                  <c:v>42705</c:v>
                </c:pt>
                <c:pt idx="23">
                  <c:v>42736</c:v>
                </c:pt>
                <c:pt idx="24">
                  <c:v>42767</c:v>
                </c:pt>
                <c:pt idx="25">
                  <c:v>42795</c:v>
                </c:pt>
                <c:pt idx="26">
                  <c:v>42826</c:v>
                </c:pt>
                <c:pt idx="27">
                  <c:v>42856</c:v>
                </c:pt>
                <c:pt idx="28">
                  <c:v>42887</c:v>
                </c:pt>
                <c:pt idx="29">
                  <c:v>42917</c:v>
                </c:pt>
                <c:pt idx="30">
                  <c:v>42948</c:v>
                </c:pt>
                <c:pt idx="31">
                  <c:v>42979</c:v>
                </c:pt>
                <c:pt idx="32">
                  <c:v>43009</c:v>
                </c:pt>
                <c:pt idx="33">
                  <c:v>43040</c:v>
                </c:pt>
                <c:pt idx="34">
                  <c:v>43070</c:v>
                </c:pt>
                <c:pt idx="35">
                  <c:v>43101</c:v>
                </c:pt>
                <c:pt idx="36">
                  <c:v>43132</c:v>
                </c:pt>
                <c:pt idx="37">
                  <c:v>43160</c:v>
                </c:pt>
                <c:pt idx="38">
                  <c:v>43191</c:v>
                </c:pt>
                <c:pt idx="39">
                  <c:v>43221</c:v>
                </c:pt>
                <c:pt idx="40">
                  <c:v>43252</c:v>
                </c:pt>
                <c:pt idx="41">
                  <c:v>43282</c:v>
                </c:pt>
                <c:pt idx="42">
                  <c:v>43313</c:v>
                </c:pt>
                <c:pt idx="43">
                  <c:v>43344</c:v>
                </c:pt>
                <c:pt idx="44">
                  <c:v>43374</c:v>
                </c:pt>
                <c:pt idx="45">
                  <c:v>43405</c:v>
                </c:pt>
                <c:pt idx="46">
                  <c:v>43435</c:v>
                </c:pt>
                <c:pt idx="47">
                  <c:v>43466</c:v>
                </c:pt>
                <c:pt idx="48">
                  <c:v>43497</c:v>
                </c:pt>
                <c:pt idx="49">
                  <c:v>43525</c:v>
                </c:pt>
                <c:pt idx="50">
                  <c:v>43556</c:v>
                </c:pt>
                <c:pt idx="51">
                  <c:v>43586</c:v>
                </c:pt>
                <c:pt idx="52">
                  <c:v>43617</c:v>
                </c:pt>
                <c:pt idx="53">
                  <c:v>43647</c:v>
                </c:pt>
                <c:pt idx="54">
                  <c:v>43678</c:v>
                </c:pt>
                <c:pt idx="55">
                  <c:v>43709</c:v>
                </c:pt>
                <c:pt idx="56">
                  <c:v>43739</c:v>
                </c:pt>
                <c:pt idx="57">
                  <c:v>43770</c:v>
                </c:pt>
                <c:pt idx="58">
                  <c:v>43800</c:v>
                </c:pt>
                <c:pt idx="59">
                  <c:v>43831</c:v>
                </c:pt>
                <c:pt idx="60">
                  <c:v>43862</c:v>
                </c:pt>
                <c:pt idx="61">
                  <c:v>43891</c:v>
                </c:pt>
                <c:pt idx="62">
                  <c:v>43922</c:v>
                </c:pt>
                <c:pt idx="63">
                  <c:v>43952</c:v>
                </c:pt>
                <c:pt idx="64">
                  <c:v>43983</c:v>
                </c:pt>
                <c:pt idx="65">
                  <c:v>44013</c:v>
                </c:pt>
                <c:pt idx="66">
                  <c:v>44044</c:v>
                </c:pt>
                <c:pt idx="67">
                  <c:v>44075</c:v>
                </c:pt>
                <c:pt idx="68">
                  <c:v>44105</c:v>
                </c:pt>
                <c:pt idx="69">
                  <c:v>44136</c:v>
                </c:pt>
                <c:pt idx="70">
                  <c:v>44166</c:v>
                </c:pt>
                <c:pt idx="71">
                  <c:v>44197</c:v>
                </c:pt>
                <c:pt idx="72">
                  <c:v>44228</c:v>
                </c:pt>
                <c:pt idx="73">
                  <c:v>44256</c:v>
                </c:pt>
                <c:pt idx="74">
                  <c:v>44287</c:v>
                </c:pt>
                <c:pt idx="75">
                  <c:v>44317</c:v>
                </c:pt>
                <c:pt idx="76">
                  <c:v>44348</c:v>
                </c:pt>
                <c:pt idx="77">
                  <c:v>44378</c:v>
                </c:pt>
                <c:pt idx="78">
                  <c:v>44409</c:v>
                </c:pt>
                <c:pt idx="79">
                  <c:v>44440</c:v>
                </c:pt>
                <c:pt idx="80">
                  <c:v>44470</c:v>
                </c:pt>
                <c:pt idx="81">
                  <c:v>44501</c:v>
                </c:pt>
                <c:pt idx="82">
                  <c:v>44531</c:v>
                </c:pt>
                <c:pt idx="83">
                  <c:v>44562</c:v>
                </c:pt>
                <c:pt idx="84">
                  <c:v>44593</c:v>
                </c:pt>
                <c:pt idx="85">
                  <c:v>44621</c:v>
                </c:pt>
                <c:pt idx="86">
                  <c:v>44652</c:v>
                </c:pt>
                <c:pt idx="87">
                  <c:v>44682</c:v>
                </c:pt>
                <c:pt idx="88">
                  <c:v>44713</c:v>
                </c:pt>
                <c:pt idx="89">
                  <c:v>44743</c:v>
                </c:pt>
                <c:pt idx="90">
                  <c:v>44774</c:v>
                </c:pt>
                <c:pt idx="91">
                  <c:v>44805</c:v>
                </c:pt>
                <c:pt idx="92">
                  <c:v>44835</c:v>
                </c:pt>
                <c:pt idx="93">
                  <c:v>44866</c:v>
                </c:pt>
                <c:pt idx="94">
                  <c:v>44896</c:v>
                </c:pt>
                <c:pt idx="95">
                  <c:v>44927</c:v>
                </c:pt>
                <c:pt idx="96">
                  <c:v>44958</c:v>
                </c:pt>
                <c:pt idx="97">
                  <c:v>44986</c:v>
                </c:pt>
                <c:pt idx="98">
                  <c:v>45017</c:v>
                </c:pt>
                <c:pt idx="99">
                  <c:v>45047</c:v>
                </c:pt>
                <c:pt idx="100">
                  <c:v>45078</c:v>
                </c:pt>
                <c:pt idx="101">
                  <c:v>45108</c:v>
                </c:pt>
                <c:pt idx="102">
                  <c:v>45139</c:v>
                </c:pt>
                <c:pt idx="103">
                  <c:v>45170</c:v>
                </c:pt>
                <c:pt idx="104">
                  <c:v>45200</c:v>
                </c:pt>
                <c:pt idx="105">
                  <c:v>45231</c:v>
                </c:pt>
                <c:pt idx="106">
                  <c:v>45261</c:v>
                </c:pt>
                <c:pt idx="107">
                  <c:v>45292</c:v>
                </c:pt>
                <c:pt idx="108">
                  <c:v>45323</c:v>
                </c:pt>
                <c:pt idx="109">
                  <c:v>45352</c:v>
                </c:pt>
                <c:pt idx="110">
                  <c:v>45383</c:v>
                </c:pt>
                <c:pt idx="111">
                  <c:v>45413</c:v>
                </c:pt>
                <c:pt idx="112">
                  <c:v>45444</c:v>
                </c:pt>
                <c:pt idx="113">
                  <c:v>45474</c:v>
                </c:pt>
                <c:pt idx="114">
                  <c:v>45505</c:v>
                </c:pt>
                <c:pt idx="115">
                  <c:v>45536</c:v>
                </c:pt>
                <c:pt idx="116">
                  <c:v>45566</c:v>
                </c:pt>
                <c:pt idx="117">
                  <c:v>45597</c:v>
                </c:pt>
                <c:pt idx="118">
                  <c:v>45627</c:v>
                </c:pt>
                <c:pt idx="119">
                  <c:v>45658</c:v>
                </c:pt>
                <c:pt idx="120">
                  <c:v>45689</c:v>
                </c:pt>
                <c:pt idx="121">
                  <c:v>45717</c:v>
                </c:pt>
                <c:pt idx="122">
                  <c:v>45748</c:v>
                </c:pt>
                <c:pt idx="123">
                  <c:v>45778</c:v>
                </c:pt>
                <c:pt idx="124">
                  <c:v>45809</c:v>
                </c:pt>
                <c:pt idx="125">
                  <c:v>45839</c:v>
                </c:pt>
                <c:pt idx="126">
                  <c:v>45870</c:v>
                </c:pt>
                <c:pt idx="127">
                  <c:v>45901</c:v>
                </c:pt>
                <c:pt idx="128">
                  <c:v>45931</c:v>
                </c:pt>
                <c:pt idx="129">
                  <c:v>45962</c:v>
                </c:pt>
                <c:pt idx="130">
                  <c:v>45992</c:v>
                </c:pt>
                <c:pt idx="131">
                  <c:v>46023</c:v>
                </c:pt>
                <c:pt idx="132">
                  <c:v>46054</c:v>
                </c:pt>
                <c:pt idx="133">
                  <c:v>46082</c:v>
                </c:pt>
              </c:numCache>
            </c:numRef>
          </c:cat>
          <c:val>
            <c:numRef>
              <c:f>Log!$C$3:$C$136</c:f>
              <c:numCache>
                <c:formatCode>#,##0.00</c:formatCode>
                <c:ptCount val="134"/>
                <c:pt idx="0">
                  <c:v>6.6608484653967182E-3</c:v>
                </c:pt>
                <c:pt idx="1">
                  <c:v>3.1397200046674456E-3</c:v>
                </c:pt>
                <c:pt idx="2">
                  <c:v>2.0876834304841552E-3</c:v>
                </c:pt>
                <c:pt idx="3">
                  <c:v>6.755026985130641E-3</c:v>
                </c:pt>
                <c:pt idx="4">
                  <c:v>8.6273838497685773E-4</c:v>
                </c:pt>
                <c:pt idx="5">
                  <c:v>-5.0142752247115396E-3</c:v>
                </c:pt>
                <c:pt idx="6">
                  <c:v>3.9788998086631722E-3</c:v>
                </c:pt>
                <c:pt idx="7">
                  <c:v>6.7108571566034669E-3</c:v>
                </c:pt>
                <c:pt idx="8">
                  <c:v>-1.5446669165877225E-3</c:v>
                </c:pt>
                <c:pt idx="9">
                  <c:v>1.7161493829256358E-3</c:v>
                </c:pt>
                <c:pt idx="10">
                  <c:v>-2.0597329630103189E-3</c:v>
                </c:pt>
                <c:pt idx="11">
                  <c:v>1.2973893143688464E-2</c:v>
                </c:pt>
                <c:pt idx="12">
                  <c:v>-2.8874754669168112E-3</c:v>
                </c:pt>
                <c:pt idx="13">
                  <c:v>3.7351486549130897E-3</c:v>
                </c:pt>
                <c:pt idx="14">
                  <c:v>3.3886818352080184E-4</c:v>
                </c:pt>
                <c:pt idx="15">
                  <c:v>6.5850807818641499E-3</c:v>
                </c:pt>
                <c:pt idx="16">
                  <c:v>3.1924751973733123E-3</c:v>
                </c:pt>
                <c:pt idx="17">
                  <c:v>3.6838621701047458E-3</c:v>
                </c:pt>
                <c:pt idx="18">
                  <c:v>-1.003344565777553E-3</c:v>
                </c:pt>
                <c:pt idx="19">
                  <c:v>5.5059787049991371E-3</c:v>
                </c:pt>
                <c:pt idx="20">
                  <c:v>9.7690983066023307E-3</c:v>
                </c:pt>
                <c:pt idx="21">
                  <c:v>5.4227394407595497E-3</c:v>
                </c:pt>
                <c:pt idx="22">
                  <c:v>1.4964495256533539E-2</c:v>
                </c:pt>
                <c:pt idx="23">
                  <c:v>1.6968551846475499E-2</c:v>
                </c:pt>
                <c:pt idx="24">
                  <c:v>8.0626474233511658E-3</c:v>
                </c:pt>
                <c:pt idx="25">
                  <c:v>5.1825793266697673E-3</c:v>
                </c:pt>
                <c:pt idx="26">
                  <c:v>7.6461322813550225E-3</c:v>
                </c:pt>
                <c:pt idx="27">
                  <c:v>-9.3312603971362762E-4</c:v>
                </c:pt>
                <c:pt idx="28">
                  <c:v>-1.7129958249357813E-3</c:v>
                </c:pt>
                <c:pt idx="29">
                  <c:v>1.2545661334180558E-2</c:v>
                </c:pt>
                <c:pt idx="30">
                  <c:v>6.7495270806814389E-3</c:v>
                </c:pt>
                <c:pt idx="31">
                  <c:v>8.5249412616583697E-3</c:v>
                </c:pt>
                <c:pt idx="32">
                  <c:v>1.7877738974560131E-2</c:v>
                </c:pt>
                <c:pt idx="33">
                  <c:v>2.1943300004640953E-2</c:v>
                </c:pt>
                <c:pt idx="34">
                  <c:v>1.1153878219659852E-2</c:v>
                </c:pt>
                <c:pt idx="35">
                  <c:v>3.3430875285820782E-2</c:v>
                </c:pt>
                <c:pt idx="36">
                  <c:v>9.9806761411675993E-3</c:v>
                </c:pt>
                <c:pt idx="37">
                  <c:v>1.2064857066507173E-2</c:v>
                </c:pt>
                <c:pt idx="38">
                  <c:v>2.1036374438405225E-2</c:v>
                </c:pt>
                <c:pt idx="39">
                  <c:v>1.1674316722647404E-2</c:v>
                </c:pt>
                <c:pt idx="40">
                  <c:v>1.101794986422E-2</c:v>
                </c:pt>
                <c:pt idx="41">
                  <c:v>1.4118491106934528E-2</c:v>
                </c:pt>
                <c:pt idx="42">
                  <c:v>3.7363932276937462E-2</c:v>
                </c:pt>
                <c:pt idx="43">
                  <c:v>3.3864380869628619E-2</c:v>
                </c:pt>
                <c:pt idx="44">
                  <c:v>2.6825833116582487E-2</c:v>
                </c:pt>
                <c:pt idx="45">
                  <c:v>8.1589840763651722E-4</c:v>
                </c:pt>
                <c:pt idx="46">
                  <c:v>-6.3113813991098056E-3</c:v>
                </c:pt>
                <c:pt idx="47">
                  <c:v>2.1688295745400765E-2</c:v>
                </c:pt>
                <c:pt idx="48">
                  <c:v>4.9213260985787599E-3</c:v>
                </c:pt>
                <c:pt idx="49">
                  <c:v>1.32692618893957E-2</c:v>
                </c:pt>
                <c:pt idx="50">
                  <c:v>8.4142528184543153E-3</c:v>
                </c:pt>
                <c:pt idx="51">
                  <c:v>1.518960408999348E-2</c:v>
                </c:pt>
                <c:pt idx="52">
                  <c:v>3.3005116092521547E-4</c:v>
                </c:pt>
                <c:pt idx="53">
                  <c:v>6.3596705576776102E-3</c:v>
                </c:pt>
                <c:pt idx="54">
                  <c:v>1.419911767151838E-3</c:v>
                </c:pt>
                <c:pt idx="55">
                  <c:v>-1.0915243147913145E-4</c:v>
                </c:pt>
                <c:pt idx="56">
                  <c:v>9.019349379062902E-3</c:v>
                </c:pt>
                <c:pt idx="57">
                  <c:v>7.9733209824706108E-3</c:v>
                </c:pt>
                <c:pt idx="58">
                  <c:v>8.2296194708240122E-3</c:v>
                </c:pt>
                <c:pt idx="59">
                  <c:v>1.0587711398820865E-2</c:v>
                </c:pt>
                <c:pt idx="60">
                  <c:v>4.2038947881328781E-3</c:v>
                </c:pt>
                <c:pt idx="61">
                  <c:v>3.768454161386714E-3</c:v>
                </c:pt>
                <c:pt idx="62">
                  <c:v>1.1530798303732936E-2</c:v>
                </c:pt>
                <c:pt idx="63">
                  <c:v>2.8877907857314256E-3</c:v>
                </c:pt>
                <c:pt idx="64">
                  <c:v>-9.2730932408713329E-4</c:v>
                </c:pt>
                <c:pt idx="65">
                  <c:v>7.394508377552178E-3</c:v>
                </c:pt>
                <c:pt idx="66">
                  <c:v>1.7748044584459777E-2</c:v>
                </c:pt>
                <c:pt idx="67">
                  <c:v>2.0200696861135903E-2</c:v>
                </c:pt>
                <c:pt idx="68">
                  <c:v>3.2850199605911179E-2</c:v>
                </c:pt>
                <c:pt idx="69">
                  <c:v>3.3097288081838983E-2</c:v>
                </c:pt>
                <c:pt idx="70">
                  <c:v>2.3605561777925388E-2</c:v>
                </c:pt>
                <c:pt idx="71">
                  <c:v>2.6224890605628381E-2</c:v>
                </c:pt>
                <c:pt idx="72">
                  <c:v>1.6878772033009248E-2</c:v>
                </c:pt>
                <c:pt idx="73">
                  <c:v>1.4730077071696712E-2</c:v>
                </c:pt>
                <c:pt idx="74">
                  <c:v>2.2111960639072947E-2</c:v>
                </c:pt>
                <c:pt idx="75">
                  <c:v>2.7718051652493081E-2</c:v>
                </c:pt>
                <c:pt idx="76">
                  <c:v>3.9876869932983006E-2</c:v>
                </c:pt>
                <c:pt idx="77">
                  <c:v>2.9859820613859611E-2</c:v>
                </c:pt>
                <c:pt idx="78">
                  <c:v>1.2071374323983086E-2</c:v>
                </c:pt>
                <c:pt idx="79">
                  <c:v>2.0433713574345092E-2</c:v>
                </c:pt>
                <c:pt idx="80">
                  <c:v>5.6151863058093276E-2</c:v>
                </c:pt>
                <c:pt idx="81">
                  <c:v>9.6652268270025488E-2</c:v>
                </c:pt>
                <c:pt idx="82">
                  <c:v>0.13438493900472359</c:v>
                </c:pt>
                <c:pt idx="83">
                  <c:v>0.12441512018181555</c:v>
                </c:pt>
                <c:pt idx="84">
                  <c:v>8.6700879970123879E-2</c:v>
                </c:pt>
                <c:pt idx="85">
                  <c:v>0.11988563020446374</c:v>
                </c:pt>
                <c:pt idx="86">
                  <c:v>7.0895672007599053E-2</c:v>
                </c:pt>
                <c:pt idx="87">
                  <c:v>5.0326883063088523E-2</c:v>
                </c:pt>
                <c:pt idx="88">
                  <c:v>7.6833216650593172E-2</c:v>
                </c:pt>
                <c:pt idx="89">
                  <c:v>1.9025049853856224E-2</c:v>
                </c:pt>
                <c:pt idx="90">
                  <c:v>2.282682283689752E-2</c:v>
                </c:pt>
                <c:pt idx="91">
                  <c:v>3.7311412661815702E-2</c:v>
                </c:pt>
                <c:pt idx="92">
                  <c:v>2.7242587273672569E-2</c:v>
                </c:pt>
                <c:pt idx="93">
                  <c:v>1.449279850742613E-2</c:v>
                </c:pt>
                <c:pt idx="94">
                  <c:v>-2.1763417427216325E-3</c:v>
                </c:pt>
                <c:pt idx="95">
                  <c:v>2.815256160564239E-2</c:v>
                </c:pt>
                <c:pt idx="96">
                  <c:v>2.6442891836229165E-3</c:v>
                </c:pt>
                <c:pt idx="97">
                  <c:v>1.1552514961923777E-2</c:v>
                </c:pt>
                <c:pt idx="98">
                  <c:v>2.0587717781159753E-3</c:v>
                </c:pt>
                <c:pt idx="99">
                  <c:v>2.6564077457535973E-3</c:v>
                </c:pt>
                <c:pt idx="100">
                  <c:v>4.5994024773514219E-2</c:v>
                </c:pt>
                <c:pt idx="101">
                  <c:v>7.4883805000667714E-2</c:v>
                </c:pt>
                <c:pt idx="102">
                  <c:v>7.4580450310397062E-2</c:v>
                </c:pt>
                <c:pt idx="103">
                  <c:v>2.8232107793812133E-2</c:v>
                </c:pt>
                <c:pt idx="104">
                  <c:v>2.1417800850008106E-2</c:v>
                </c:pt>
                <c:pt idx="105">
                  <c:v>1.149193323878972E-2</c:v>
                </c:pt>
                <c:pt idx="106">
                  <c:v>2.4372587811528845E-2</c:v>
                </c:pt>
                <c:pt idx="107">
                  <c:v>7.2456078411568647E-2</c:v>
                </c:pt>
                <c:pt idx="108">
                  <c:v>3.5268138837458274E-2</c:v>
                </c:pt>
                <c:pt idx="109">
                  <c:v>1.1576592935537811E-2</c:v>
                </c:pt>
                <c:pt idx="110">
                  <c:v>1.7063368853229122E-2</c:v>
                </c:pt>
                <c:pt idx="111">
                  <c:v>8.4683930016815623E-3</c:v>
                </c:pt>
                <c:pt idx="112">
                  <c:v>9.2473050618480102E-3</c:v>
                </c:pt>
                <c:pt idx="113">
                  <c:v>3.3627143753307998E-2</c:v>
                </c:pt>
                <c:pt idx="114">
                  <c:v>1.3836228346041146E-2</c:v>
                </c:pt>
                <c:pt idx="115">
                  <c:v>1.7552970182935113E-2</c:v>
                </c:pt>
                <c:pt idx="116">
                  <c:v>2.7146101798548372E-2</c:v>
                </c:pt>
                <c:pt idx="117">
                  <c:v>1.3978394734059485E-2</c:v>
                </c:pt>
                <c:pt idx="118">
                  <c:v>2.1091215516069184E-2</c:v>
                </c:pt>
                <c:pt idx="119">
                  <c:v>5.7246733557382079E-2</c:v>
                </c:pt>
                <c:pt idx="120">
                  <c:v>2.3191553699336787E-2</c:v>
                </c:pt>
                <c:pt idx="121">
                  <c:v>1.7803524843046148E-2</c:v>
                </c:pt>
                <c:pt idx="122">
                  <c:v>2.0112566071212257E-2</c:v>
                </c:pt>
                <c:pt idx="123">
                  <c:v>2.1289641833560857E-2</c:v>
                </c:pt>
                <c:pt idx="124">
                  <c:v>2.4873441039708233E-2</c:v>
                </c:pt>
                <c:pt idx="125">
                  <c:v>3.6161736120369881E-2</c:v>
                </c:pt>
                <c:pt idx="126">
                  <c:v>1.2885910869487205E-2</c:v>
                </c:pt>
                <c:pt idx="127">
                  <c:v>2.1323778731166421E-2</c:v>
                </c:pt>
                <c:pt idx="128">
                  <c:v>2.0202460845125003E-2</c:v>
                </c:pt>
                <c:pt idx="129">
                  <c:v>1.8250101143763686E-2</c:v>
                </c:pt>
                <c:pt idx="130">
                  <c:v>1.2948558244621822E-2</c:v>
                </c:pt>
                <c:pt idx="131">
                  <c:v>3.7835273561543481E-2</c:v>
                </c:pt>
                <c:pt idx="132">
                  <c:v>3.0536978105374146E-2</c:v>
                </c:pt>
                <c:pt idx="133">
                  <c:v>3.8202627318965732E-2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9B-314E-8500-EF70AE482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1109759"/>
        <c:axId val="1392298623"/>
      </c:barChart>
      <c:lineChart>
        <c:grouping val="standard"/>
        <c:varyColors val="0"/>
        <c:ser>
          <c:idx val="1"/>
          <c:order val="1"/>
          <c:tx>
            <c:strRef>
              <c:f>Log!$D$1:$D$2</c:f>
              <c:strCache>
                <c:ptCount val="2"/>
                <c:pt idx="0">
                  <c:v>Aylık % Değişim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Log!$A$3:$A$136</c:f>
              <c:numCache>
                <c:formatCode>m/d/yy</c:formatCode>
                <c:ptCount val="134"/>
                <c:pt idx="0">
                  <c:v>42036</c:v>
                </c:pt>
                <c:pt idx="1">
                  <c:v>42064</c:v>
                </c:pt>
                <c:pt idx="2">
                  <c:v>42095</c:v>
                </c:pt>
                <c:pt idx="3">
                  <c:v>42125</c:v>
                </c:pt>
                <c:pt idx="4">
                  <c:v>42156</c:v>
                </c:pt>
                <c:pt idx="5">
                  <c:v>42186</c:v>
                </c:pt>
                <c:pt idx="6">
                  <c:v>42217</c:v>
                </c:pt>
                <c:pt idx="7">
                  <c:v>42248</c:v>
                </c:pt>
                <c:pt idx="8">
                  <c:v>42278</c:v>
                </c:pt>
                <c:pt idx="9">
                  <c:v>42309</c:v>
                </c:pt>
                <c:pt idx="10">
                  <c:v>42339</c:v>
                </c:pt>
                <c:pt idx="11">
                  <c:v>42370</c:v>
                </c:pt>
                <c:pt idx="12">
                  <c:v>42401</c:v>
                </c:pt>
                <c:pt idx="13">
                  <c:v>42430</c:v>
                </c:pt>
                <c:pt idx="14">
                  <c:v>42461</c:v>
                </c:pt>
                <c:pt idx="15">
                  <c:v>42491</c:v>
                </c:pt>
                <c:pt idx="16">
                  <c:v>42522</c:v>
                </c:pt>
                <c:pt idx="17">
                  <c:v>42552</c:v>
                </c:pt>
                <c:pt idx="18">
                  <c:v>42583</c:v>
                </c:pt>
                <c:pt idx="19">
                  <c:v>42614</c:v>
                </c:pt>
                <c:pt idx="20">
                  <c:v>42644</c:v>
                </c:pt>
                <c:pt idx="21">
                  <c:v>42675</c:v>
                </c:pt>
                <c:pt idx="22">
                  <c:v>42705</c:v>
                </c:pt>
                <c:pt idx="23">
                  <c:v>42736</c:v>
                </c:pt>
                <c:pt idx="24">
                  <c:v>42767</c:v>
                </c:pt>
                <c:pt idx="25">
                  <c:v>42795</c:v>
                </c:pt>
                <c:pt idx="26">
                  <c:v>42826</c:v>
                </c:pt>
                <c:pt idx="27">
                  <c:v>42856</c:v>
                </c:pt>
                <c:pt idx="28">
                  <c:v>42887</c:v>
                </c:pt>
                <c:pt idx="29">
                  <c:v>42917</c:v>
                </c:pt>
                <c:pt idx="30">
                  <c:v>42948</c:v>
                </c:pt>
                <c:pt idx="31">
                  <c:v>42979</c:v>
                </c:pt>
                <c:pt idx="32">
                  <c:v>43009</c:v>
                </c:pt>
                <c:pt idx="33">
                  <c:v>43040</c:v>
                </c:pt>
                <c:pt idx="34">
                  <c:v>43070</c:v>
                </c:pt>
                <c:pt idx="35">
                  <c:v>43101</c:v>
                </c:pt>
                <c:pt idx="36">
                  <c:v>43132</c:v>
                </c:pt>
                <c:pt idx="37">
                  <c:v>43160</c:v>
                </c:pt>
                <c:pt idx="38">
                  <c:v>43191</c:v>
                </c:pt>
                <c:pt idx="39">
                  <c:v>43221</c:v>
                </c:pt>
                <c:pt idx="40">
                  <c:v>43252</c:v>
                </c:pt>
                <c:pt idx="41">
                  <c:v>43282</c:v>
                </c:pt>
                <c:pt idx="42">
                  <c:v>43313</c:v>
                </c:pt>
                <c:pt idx="43">
                  <c:v>43344</c:v>
                </c:pt>
                <c:pt idx="44">
                  <c:v>43374</c:v>
                </c:pt>
                <c:pt idx="45">
                  <c:v>43405</c:v>
                </c:pt>
                <c:pt idx="46">
                  <c:v>43435</c:v>
                </c:pt>
                <c:pt idx="47">
                  <c:v>43466</c:v>
                </c:pt>
                <c:pt idx="48">
                  <c:v>43497</c:v>
                </c:pt>
                <c:pt idx="49">
                  <c:v>43525</c:v>
                </c:pt>
                <c:pt idx="50">
                  <c:v>43556</c:v>
                </c:pt>
                <c:pt idx="51">
                  <c:v>43586</c:v>
                </c:pt>
                <c:pt idx="52">
                  <c:v>43617</c:v>
                </c:pt>
                <c:pt idx="53">
                  <c:v>43647</c:v>
                </c:pt>
                <c:pt idx="54">
                  <c:v>43678</c:v>
                </c:pt>
                <c:pt idx="55">
                  <c:v>43709</c:v>
                </c:pt>
                <c:pt idx="56">
                  <c:v>43739</c:v>
                </c:pt>
                <c:pt idx="57">
                  <c:v>43770</c:v>
                </c:pt>
                <c:pt idx="58">
                  <c:v>43800</c:v>
                </c:pt>
                <c:pt idx="59">
                  <c:v>43831</c:v>
                </c:pt>
                <c:pt idx="60">
                  <c:v>43862</c:v>
                </c:pt>
                <c:pt idx="61">
                  <c:v>43891</c:v>
                </c:pt>
                <c:pt idx="62">
                  <c:v>43922</c:v>
                </c:pt>
                <c:pt idx="63">
                  <c:v>43952</c:v>
                </c:pt>
                <c:pt idx="64">
                  <c:v>43983</c:v>
                </c:pt>
                <c:pt idx="65">
                  <c:v>44013</c:v>
                </c:pt>
                <c:pt idx="66">
                  <c:v>44044</c:v>
                </c:pt>
                <c:pt idx="67">
                  <c:v>44075</c:v>
                </c:pt>
                <c:pt idx="68">
                  <c:v>44105</c:v>
                </c:pt>
                <c:pt idx="69">
                  <c:v>44136</c:v>
                </c:pt>
                <c:pt idx="70">
                  <c:v>44166</c:v>
                </c:pt>
                <c:pt idx="71">
                  <c:v>44197</c:v>
                </c:pt>
                <c:pt idx="72">
                  <c:v>44228</c:v>
                </c:pt>
                <c:pt idx="73">
                  <c:v>44256</c:v>
                </c:pt>
                <c:pt idx="74">
                  <c:v>44287</c:v>
                </c:pt>
                <c:pt idx="75">
                  <c:v>44317</c:v>
                </c:pt>
                <c:pt idx="76">
                  <c:v>44348</c:v>
                </c:pt>
                <c:pt idx="77">
                  <c:v>44378</c:v>
                </c:pt>
                <c:pt idx="78">
                  <c:v>44409</c:v>
                </c:pt>
                <c:pt idx="79">
                  <c:v>44440</c:v>
                </c:pt>
                <c:pt idx="80">
                  <c:v>44470</c:v>
                </c:pt>
                <c:pt idx="81">
                  <c:v>44501</c:v>
                </c:pt>
                <c:pt idx="82">
                  <c:v>44531</c:v>
                </c:pt>
                <c:pt idx="83">
                  <c:v>44562</c:v>
                </c:pt>
                <c:pt idx="84">
                  <c:v>44593</c:v>
                </c:pt>
                <c:pt idx="85">
                  <c:v>44621</c:v>
                </c:pt>
                <c:pt idx="86">
                  <c:v>44652</c:v>
                </c:pt>
                <c:pt idx="87">
                  <c:v>44682</c:v>
                </c:pt>
                <c:pt idx="88">
                  <c:v>44713</c:v>
                </c:pt>
                <c:pt idx="89">
                  <c:v>44743</c:v>
                </c:pt>
                <c:pt idx="90">
                  <c:v>44774</c:v>
                </c:pt>
                <c:pt idx="91">
                  <c:v>44805</c:v>
                </c:pt>
                <c:pt idx="92">
                  <c:v>44835</c:v>
                </c:pt>
                <c:pt idx="93">
                  <c:v>44866</c:v>
                </c:pt>
                <c:pt idx="94">
                  <c:v>44896</c:v>
                </c:pt>
                <c:pt idx="95">
                  <c:v>44927</c:v>
                </c:pt>
                <c:pt idx="96">
                  <c:v>44958</c:v>
                </c:pt>
                <c:pt idx="97">
                  <c:v>44986</c:v>
                </c:pt>
                <c:pt idx="98">
                  <c:v>45017</c:v>
                </c:pt>
                <c:pt idx="99">
                  <c:v>45047</c:v>
                </c:pt>
                <c:pt idx="100">
                  <c:v>45078</c:v>
                </c:pt>
                <c:pt idx="101">
                  <c:v>45108</c:v>
                </c:pt>
                <c:pt idx="102">
                  <c:v>45139</c:v>
                </c:pt>
                <c:pt idx="103">
                  <c:v>45170</c:v>
                </c:pt>
                <c:pt idx="104">
                  <c:v>45200</c:v>
                </c:pt>
                <c:pt idx="105">
                  <c:v>45231</c:v>
                </c:pt>
                <c:pt idx="106">
                  <c:v>45261</c:v>
                </c:pt>
                <c:pt idx="107">
                  <c:v>45292</c:v>
                </c:pt>
                <c:pt idx="108">
                  <c:v>45323</c:v>
                </c:pt>
                <c:pt idx="109">
                  <c:v>45352</c:v>
                </c:pt>
                <c:pt idx="110">
                  <c:v>45383</c:v>
                </c:pt>
                <c:pt idx="111">
                  <c:v>45413</c:v>
                </c:pt>
                <c:pt idx="112">
                  <c:v>45444</c:v>
                </c:pt>
                <c:pt idx="113">
                  <c:v>45474</c:v>
                </c:pt>
                <c:pt idx="114">
                  <c:v>45505</c:v>
                </c:pt>
                <c:pt idx="115">
                  <c:v>45536</c:v>
                </c:pt>
                <c:pt idx="116">
                  <c:v>45566</c:v>
                </c:pt>
                <c:pt idx="117">
                  <c:v>45597</c:v>
                </c:pt>
                <c:pt idx="118">
                  <c:v>45627</c:v>
                </c:pt>
                <c:pt idx="119">
                  <c:v>45658</c:v>
                </c:pt>
                <c:pt idx="120">
                  <c:v>45689</c:v>
                </c:pt>
                <c:pt idx="121">
                  <c:v>45717</c:v>
                </c:pt>
                <c:pt idx="122">
                  <c:v>45748</c:v>
                </c:pt>
                <c:pt idx="123">
                  <c:v>45778</c:v>
                </c:pt>
                <c:pt idx="124">
                  <c:v>45809</c:v>
                </c:pt>
                <c:pt idx="125">
                  <c:v>45839</c:v>
                </c:pt>
                <c:pt idx="126">
                  <c:v>45870</c:v>
                </c:pt>
                <c:pt idx="127">
                  <c:v>45901</c:v>
                </c:pt>
                <c:pt idx="128">
                  <c:v>45931</c:v>
                </c:pt>
                <c:pt idx="129">
                  <c:v>45962</c:v>
                </c:pt>
                <c:pt idx="130">
                  <c:v>45992</c:v>
                </c:pt>
                <c:pt idx="131">
                  <c:v>46023</c:v>
                </c:pt>
                <c:pt idx="132">
                  <c:v>46054</c:v>
                </c:pt>
                <c:pt idx="133">
                  <c:v>46082</c:v>
                </c:pt>
              </c:numCache>
            </c:numRef>
          </c:cat>
          <c:val>
            <c:numRef>
              <c:f>Log!$D$3:$D$136</c:f>
              <c:numCache>
                <c:formatCode>0.00%</c:formatCode>
                <c:ptCount val="134"/>
                <c:pt idx="0">
                  <c:v>1.6484832644052538E-3</c:v>
                </c:pt>
                <c:pt idx="1">
                  <c:v>7.7576569584825172E-4</c:v>
                </c:pt>
                <c:pt idx="2">
                  <c:v>5.154274160943384E-4</c:v>
                </c:pt>
                <c:pt idx="3">
                  <c:v>1.6668870390919022E-3</c:v>
                </c:pt>
                <c:pt idx="4">
                  <c:v>2.1253716602442907E-4</c:v>
                </c:pt>
                <c:pt idx="5">
                  <c:v>-1.2350133105643035E-3</c:v>
                </c:pt>
                <c:pt idx="6">
                  <c:v>9.8121270916795567E-4</c:v>
                </c:pt>
                <c:pt idx="7">
                  <c:v>1.6533021470983567E-3</c:v>
                </c:pt>
                <c:pt idx="8">
                  <c:v>-3.7991955936733657E-4</c:v>
                </c:pt>
                <c:pt idx="9">
                  <c:v>4.2225706498610904E-4</c:v>
                </c:pt>
                <c:pt idx="10">
                  <c:v>-5.0658159876315612E-4</c:v>
                </c:pt>
                <c:pt idx="11">
                  <c:v>3.1924850263220783E-3</c:v>
                </c:pt>
                <c:pt idx="12">
                  <c:v>-7.0825978807520507E-4</c:v>
                </c:pt>
                <c:pt idx="13">
                  <c:v>9.1683223732785812E-4</c:v>
                </c:pt>
                <c:pt idx="14">
                  <c:v>8.3102633436027418E-5</c:v>
                </c:pt>
                <c:pt idx="15">
                  <c:v>1.6147638163404032E-3</c:v>
                </c:pt>
                <c:pt idx="16">
                  <c:v>7.8158230179226074E-4</c:v>
                </c:pt>
                <c:pt idx="17">
                  <c:v>9.0117939524025914E-4</c:v>
                </c:pt>
                <c:pt idx="18">
                  <c:v>-2.4522615137090309E-4</c:v>
                </c:pt>
                <c:pt idx="19">
                  <c:v>1.346039238594221E-3</c:v>
                </c:pt>
                <c:pt idx="20">
                  <c:v>2.3850280357058384E-3</c:v>
                </c:pt>
                <c:pt idx="21">
                  <c:v>1.3207577709872798E-3</c:v>
                </c:pt>
                <c:pt idx="22">
                  <c:v>3.6399321716378275E-3</c:v>
                </c:pt>
                <c:pt idx="23">
                  <c:v>4.1124257067388648E-3</c:v>
                </c:pt>
                <c:pt idx="24">
                  <c:v>1.946025885181335E-3</c:v>
                </c:pt>
                <c:pt idx="25">
                  <c:v>1.2484540868522576E-3</c:v>
                </c:pt>
                <c:pt idx="26">
                  <c:v>1.8396134057898639E-3</c:v>
                </c:pt>
                <c:pt idx="27">
                  <c:v>-2.2409226565134333E-4</c:v>
                </c:pt>
                <c:pt idx="28">
                  <c:v>-4.1147191322621346E-4</c:v>
                </c:pt>
                <c:pt idx="29">
                  <c:v>3.0147839043885849E-3</c:v>
                </c:pt>
                <c:pt idx="30">
                  <c:v>1.617069322085829E-3</c:v>
                </c:pt>
                <c:pt idx="31">
                  <c:v>2.0391302724476201E-3</c:v>
                </c:pt>
                <c:pt idx="32">
                  <c:v>4.2675781955201497E-3</c:v>
                </c:pt>
                <c:pt idx="33">
                  <c:v>5.215805573322907E-3</c:v>
                </c:pt>
                <c:pt idx="34">
                  <c:v>2.6374609799646453E-3</c:v>
                </c:pt>
                <c:pt idx="35">
                  <c:v>7.8843149642546795E-3</c:v>
                </c:pt>
                <c:pt idx="36">
                  <c:v>2.3354226870846428E-3</c:v>
                </c:pt>
                <c:pt idx="37">
                  <c:v>2.8165316358790271E-3</c:v>
                </c:pt>
                <c:pt idx="38">
                  <c:v>4.8971325619477923E-3</c:v>
                </c:pt>
                <c:pt idx="39">
                  <c:v>2.7044616802238686E-3</c:v>
                </c:pt>
                <c:pt idx="40">
                  <c:v>2.5455240536691459E-3</c:v>
                </c:pt>
                <c:pt idx="41">
                  <c:v>3.2535733012262202E-3</c:v>
                </c:pt>
                <c:pt idx="42">
                  <c:v>8.5825071120892993E-3</c:v>
                </c:pt>
                <c:pt idx="43">
                  <c:v>7.7124667415904291E-3</c:v>
                </c:pt>
                <c:pt idx="44">
                  <c:v>6.0627093919833897E-3</c:v>
                </c:pt>
                <c:pt idx="45">
                  <c:v>1.8328400518030641E-4</c:v>
                </c:pt>
                <c:pt idx="46">
                  <c:v>-1.4175334461666855E-3</c:v>
                </c:pt>
                <c:pt idx="47">
                  <c:v>4.8780964121408754E-3</c:v>
                </c:pt>
                <c:pt idx="48">
                  <c:v>1.1015233717943662E-3</c:v>
                </c:pt>
                <c:pt idx="49">
                  <c:v>2.9667449813328695E-3</c:v>
                </c:pt>
                <c:pt idx="50">
                  <c:v>1.8756960943078216E-3</c:v>
                </c:pt>
                <c:pt idx="51">
                  <c:v>3.3797107266035908E-3</c:v>
                </c:pt>
                <c:pt idx="52">
                  <c:v>7.3189541332618901E-5</c:v>
                </c:pt>
                <c:pt idx="53">
                  <c:v>1.4101671553787831E-3</c:v>
                </c:pt>
                <c:pt idx="54">
                  <c:v>3.1440202753207913E-4</c:v>
                </c:pt>
                <c:pt idx="55">
                  <c:v>-2.4161331980687706E-5</c:v>
                </c:pt>
                <c:pt idx="56">
                  <c:v>1.996517686291055E-3</c:v>
                </c:pt>
                <c:pt idx="57">
                  <c:v>1.761452705910882E-3</c:v>
                </c:pt>
                <c:pt idx="58">
                  <c:v>1.8148769184702651E-3</c:v>
                </c:pt>
                <c:pt idx="59">
                  <c:v>2.3306767352277991E-3</c:v>
                </c:pt>
                <c:pt idx="60">
                  <c:v>9.2325307398577472E-4</c:v>
                </c:pt>
                <c:pt idx="61">
                  <c:v>8.2685885605116027E-4</c:v>
                </c:pt>
                <c:pt idx="62">
                  <c:v>2.5279505187834062E-3</c:v>
                </c:pt>
                <c:pt idx="63">
                  <c:v>6.3150737988038053E-4</c:v>
                </c:pt>
                <c:pt idx="64">
                  <c:v>-2.0265772211103261E-4</c:v>
                </c:pt>
                <c:pt idx="65">
                  <c:v>1.6163516748257667E-3</c:v>
                </c:pt>
                <c:pt idx="66">
                  <c:v>3.8732511400301206E-3</c:v>
                </c:pt>
                <c:pt idx="67">
                  <c:v>4.3914972541223563E-3</c:v>
                </c:pt>
                <c:pt idx="68">
                  <c:v>7.1101907057571356E-3</c:v>
                </c:pt>
                <c:pt idx="69">
                  <c:v>7.1130957713438914E-3</c:v>
                </c:pt>
                <c:pt idx="70">
                  <c:v>5.037352506579662E-3</c:v>
                </c:pt>
                <c:pt idx="71">
                  <c:v>5.5682597382331611E-3</c:v>
                </c:pt>
                <c:pt idx="72">
                  <c:v>3.5639786274732632E-3</c:v>
                </c:pt>
                <c:pt idx="73">
                  <c:v>3.0992327882441995E-3</c:v>
                </c:pt>
                <c:pt idx="74">
                  <c:v>4.6380191042199037E-3</c:v>
                </c:pt>
                <c:pt idx="75">
                  <c:v>5.7870651405436124E-3</c:v>
                </c:pt>
                <c:pt idx="76">
                  <c:v>8.277719139577977E-3</c:v>
                </c:pt>
                <c:pt idx="77">
                  <c:v>6.1474732709028146E-3</c:v>
                </c:pt>
                <c:pt idx="78">
                  <c:v>2.4700430988162658E-3</c:v>
                </c:pt>
                <c:pt idx="79">
                  <c:v>4.1708417475998516E-3</c:v>
                </c:pt>
                <c:pt idx="80">
                  <c:v>1.1413871377045748E-2</c:v>
                </c:pt>
                <c:pt idx="81">
                  <c:v>1.942459394326157E-2</c:v>
                </c:pt>
                <c:pt idx="82">
                  <c:v>2.6493259290125692E-2</c:v>
                </c:pt>
                <c:pt idx="83">
                  <c:v>2.3894714895839941E-2</c:v>
                </c:pt>
                <c:pt idx="84">
                  <c:v>1.6262858889312337E-2</c:v>
                </c:pt>
                <c:pt idx="85">
                  <c:v>2.2127607795040305E-2</c:v>
                </c:pt>
                <c:pt idx="86">
                  <c:v>1.2802121340551809E-2</c:v>
                </c:pt>
                <c:pt idx="87">
                  <c:v>8.9729995736413937E-3</c:v>
                </c:pt>
                <c:pt idx="88">
                  <c:v>1.3577102113115691E-2</c:v>
                </c:pt>
                <c:pt idx="89">
                  <c:v>3.3168595466304129E-3</c:v>
                </c:pt>
                <c:pt idx="90">
                  <c:v>3.9665107549464729E-3</c:v>
                </c:pt>
                <c:pt idx="91">
                  <c:v>6.4578155143550919E-3</c:v>
                </c:pt>
                <c:pt idx="92">
                  <c:v>4.6848610646121891E-3</c:v>
                </c:pt>
                <c:pt idx="93">
                  <c:v>2.4806800903711679E-3</c:v>
                </c:pt>
                <c:pt idx="94">
                  <c:v>-3.7159476511594569E-4</c:v>
                </c:pt>
                <c:pt idx="95">
                  <c:v>4.8086351227634161E-3</c:v>
                </c:pt>
                <c:pt idx="96">
                  <c:v>4.4949979357400416E-4</c:v>
                </c:pt>
                <c:pt idx="97">
                  <c:v>1.9629169098240862E-3</c:v>
                </c:pt>
                <c:pt idx="98">
                  <c:v>3.4912579249302134E-4</c:v>
                </c:pt>
                <c:pt idx="99">
                  <c:v>4.5031547249463344E-4</c:v>
                </c:pt>
                <c:pt idx="100">
                  <c:v>7.7934189040018698E-3</c:v>
                </c:pt>
                <c:pt idx="101">
                  <c:v>1.2590500410324612E-2</c:v>
                </c:pt>
                <c:pt idx="102">
                  <c:v>1.23835807480559E-2</c:v>
                </c:pt>
                <c:pt idx="103">
                  <c:v>4.6304100244114466E-3</c:v>
                </c:pt>
                <c:pt idx="104">
                  <c:v>3.4965899266692357E-3</c:v>
                </c:pt>
                <c:pt idx="105">
                  <c:v>1.8695927677041535E-3</c:v>
                </c:pt>
                <c:pt idx="106">
                  <c:v>3.9577136890602826E-3</c:v>
                </c:pt>
                <c:pt idx="107">
                  <c:v>1.17193124482593E-2</c:v>
                </c:pt>
                <c:pt idx="108">
                  <c:v>5.6383211628705521E-3</c:v>
                </c:pt>
                <c:pt idx="109">
                  <c:v>1.8403745394954818E-3</c:v>
                </c:pt>
                <c:pt idx="110">
                  <c:v>2.7076448721479185E-3</c:v>
                </c:pt>
                <c:pt idx="111">
                  <c:v>1.3401505914580891E-3</c:v>
                </c:pt>
                <c:pt idx="112">
                  <c:v>1.4614573721376534E-3</c:v>
                </c:pt>
                <c:pt idx="113">
                  <c:v>5.3067265364894478E-3</c:v>
                </c:pt>
                <c:pt idx="114">
                  <c:v>2.1719801918824722E-3</c:v>
                </c:pt>
                <c:pt idx="115">
                  <c:v>2.74945425567652E-3</c:v>
                </c:pt>
                <c:pt idx="116">
                  <c:v>4.2404399989837138E-3</c:v>
                </c:pt>
                <c:pt idx="117">
                  <c:v>2.1743179104189991E-3</c:v>
                </c:pt>
                <c:pt idx="118">
                  <c:v>3.2735884765975332E-3</c:v>
                </c:pt>
                <c:pt idx="119">
                  <c:v>8.8563303067057397E-3</c:v>
                </c:pt>
                <c:pt idx="120">
                  <c:v>3.5563427942646442E-3</c:v>
                </c:pt>
                <c:pt idx="121">
                  <c:v>2.7204328203169759E-3</c:v>
                </c:pt>
                <c:pt idx="122">
                  <c:v>3.0649234343385068E-3</c:v>
                </c:pt>
                <c:pt idx="123">
                  <c:v>3.2343830877059609E-3</c:v>
                </c:pt>
                <c:pt idx="124">
                  <c:v>3.7666612556561674E-3</c:v>
                </c:pt>
                <c:pt idx="125">
                  <c:v>5.4555331612149427E-3</c:v>
                </c:pt>
                <c:pt idx="126">
                  <c:v>1.9334822160812504E-3</c:v>
                </c:pt>
                <c:pt idx="127">
                  <c:v>3.1933780531625544E-3</c:v>
                </c:pt>
                <c:pt idx="128">
                  <c:v>3.0158225611374156E-3</c:v>
                </c:pt>
                <c:pt idx="129">
                  <c:v>2.7161828560955392E-3</c:v>
                </c:pt>
                <c:pt idx="130">
                  <c:v>1.9219280206164147E-3</c:v>
                </c:pt>
                <c:pt idx="131">
                  <c:v>5.6050397990523582E-3</c:v>
                </c:pt>
                <c:pt idx="132">
                  <c:v>4.498631695023958E-3</c:v>
                </c:pt>
                <c:pt idx="133">
                  <c:v>5.6027115435011154E-3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9B-314E-8500-EF70AE482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91109759"/>
        <c:axId val="1392298623"/>
      </c:lineChart>
      <c:dateAx>
        <c:axId val="1391109759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392298623"/>
        <c:crosses val="autoZero"/>
        <c:auto val="1"/>
        <c:lblOffset val="100"/>
        <c:baseTimeUnit val="months"/>
      </c:dateAx>
      <c:valAx>
        <c:axId val="1392298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391109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Yıllık Değişim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Log!$E$1:$E$13</c:f>
              <c:strCache>
                <c:ptCount val="13"/>
                <c:pt idx="0">
                  <c:v>Yıllık Mutlak Değişim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Log!$A$14:$A$136</c:f>
              <c:numCache>
                <c:formatCode>m/d/yy</c:formatCode>
                <c:ptCount val="123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  <c:pt idx="115">
                  <c:v>45870</c:v>
                </c:pt>
                <c:pt idx="116">
                  <c:v>45901</c:v>
                </c:pt>
                <c:pt idx="117">
                  <c:v>45931</c:v>
                </c:pt>
                <c:pt idx="118">
                  <c:v>45962</c:v>
                </c:pt>
                <c:pt idx="119">
                  <c:v>45992</c:v>
                </c:pt>
                <c:pt idx="120">
                  <c:v>46023</c:v>
                </c:pt>
                <c:pt idx="121">
                  <c:v>46054</c:v>
                </c:pt>
                <c:pt idx="122">
                  <c:v>46082</c:v>
                </c:pt>
              </c:numCache>
            </c:numRef>
          </c:cat>
          <c:val>
            <c:numRef>
              <c:f>Log!$E$14:$E$136</c:f>
              <c:numCache>
                <c:formatCode>#,##0.00</c:formatCode>
                <c:ptCount val="123"/>
                <c:pt idx="0">
                  <c:v>3.6267141658226976E-2</c:v>
                </c:pt>
                <c:pt idx="1">
                  <c:v>2.6718817725913446E-2</c:v>
                </c:pt>
                <c:pt idx="2">
                  <c:v>2.731424637615909E-2</c:v>
                </c:pt>
                <c:pt idx="3">
                  <c:v>2.5565431129195737E-2</c:v>
                </c:pt>
                <c:pt idx="4">
                  <c:v>2.5395484925929246E-2</c:v>
                </c:pt>
                <c:pt idx="5">
                  <c:v>2.77252217383257E-2</c:v>
                </c:pt>
                <c:pt idx="6">
                  <c:v>3.6423359133141986E-2</c:v>
                </c:pt>
                <c:pt idx="7">
                  <c:v>3.1441114758701261E-2</c:v>
                </c:pt>
                <c:pt idx="8">
                  <c:v>3.0236236307096931E-2</c:v>
                </c:pt>
                <c:pt idx="9">
                  <c:v>4.1550001530286984E-2</c:v>
                </c:pt>
                <c:pt idx="10">
                  <c:v>4.5256591588120898E-2</c:v>
                </c:pt>
                <c:pt idx="11">
                  <c:v>6.2280819807664756E-2</c:v>
                </c:pt>
                <c:pt idx="12">
                  <c:v>6.6275478510451791E-2</c:v>
                </c:pt>
                <c:pt idx="13">
                  <c:v>7.7225601400719768E-2</c:v>
                </c:pt>
                <c:pt idx="14">
                  <c:v>7.8673032072476445E-2</c:v>
                </c:pt>
                <c:pt idx="15">
                  <c:v>8.5980296170310666E-2</c:v>
                </c:pt>
                <c:pt idx="16">
                  <c:v>7.8462089348732889E-2</c:v>
                </c:pt>
                <c:pt idx="17">
                  <c:v>7.3556618326423795E-2</c:v>
                </c:pt>
                <c:pt idx="18">
                  <c:v>8.2418417490499607E-2</c:v>
                </c:pt>
                <c:pt idx="19">
                  <c:v>9.0171289136958599E-2</c:v>
                </c:pt>
                <c:pt idx="20">
                  <c:v>9.3190251693617832E-2</c:v>
                </c:pt>
                <c:pt idx="21">
                  <c:v>0.10129889236157563</c:v>
                </c:pt>
                <c:pt idx="22">
                  <c:v>0.11781945292545704</c:v>
                </c:pt>
                <c:pt idx="23">
                  <c:v>0.11400883588858335</c:v>
                </c:pt>
                <c:pt idx="24">
                  <c:v>0.13047115932792863</c:v>
                </c:pt>
                <c:pt idx="25">
                  <c:v>0.13238918804574507</c:v>
                </c:pt>
                <c:pt idx="26">
                  <c:v>0.13927146578558247</c:v>
                </c:pt>
                <c:pt idx="27">
                  <c:v>0.15266170794263267</c:v>
                </c:pt>
                <c:pt idx="28">
                  <c:v>0.16526915070499371</c:v>
                </c:pt>
                <c:pt idx="29">
                  <c:v>0.17800009639414949</c:v>
                </c:pt>
                <c:pt idx="30">
                  <c:v>0.17957292616690346</c:v>
                </c:pt>
                <c:pt idx="31">
                  <c:v>0.21018733136315948</c:v>
                </c:pt>
                <c:pt idx="32">
                  <c:v>0.23552677097112973</c:v>
                </c:pt>
                <c:pt idx="33">
                  <c:v>0.24447486511315208</c:v>
                </c:pt>
                <c:pt idx="34">
                  <c:v>0.22334746351614765</c:v>
                </c:pt>
                <c:pt idx="35">
                  <c:v>0.20588220389737799</c:v>
                </c:pt>
                <c:pt idx="36">
                  <c:v>0.19413962435695797</c:v>
                </c:pt>
                <c:pt idx="37">
                  <c:v>0.18908027431436913</c:v>
                </c:pt>
                <c:pt idx="38">
                  <c:v>0.19028467913725766</c:v>
                </c:pt>
                <c:pt idx="39">
                  <c:v>0.17766255751730675</c:v>
                </c:pt>
                <c:pt idx="40">
                  <c:v>0.18117784488465283</c:v>
                </c:pt>
                <c:pt idx="41">
                  <c:v>0.17048994618135804</c:v>
                </c:pt>
                <c:pt idx="42">
                  <c:v>0.16273112563210113</c:v>
                </c:pt>
                <c:pt idx="43">
                  <c:v>0.1267871051223155</c:v>
                </c:pt>
                <c:pt idx="44">
                  <c:v>9.2813571821207752E-2</c:v>
                </c:pt>
                <c:pt idx="45">
                  <c:v>7.5007088083688167E-2</c:v>
                </c:pt>
                <c:pt idx="46">
                  <c:v>8.2164510658522261E-2</c:v>
                </c:pt>
                <c:pt idx="47">
                  <c:v>9.6705511528456078E-2</c:v>
                </c:pt>
                <c:pt idx="48">
                  <c:v>8.5604927181876178E-2</c:v>
                </c:pt>
                <c:pt idx="49">
                  <c:v>8.4887495871430296E-2</c:v>
                </c:pt>
                <c:pt idx="50">
                  <c:v>7.538668814342131E-2</c:v>
                </c:pt>
                <c:pt idx="51">
                  <c:v>7.8503233628699931E-2</c:v>
                </c:pt>
                <c:pt idx="52">
                  <c:v>6.6201420324437876E-2</c:v>
                </c:pt>
                <c:pt idx="53">
                  <c:v>6.4944059839425528E-2</c:v>
                </c:pt>
                <c:pt idx="54">
                  <c:v>6.5978897659300095E-2</c:v>
                </c:pt>
                <c:pt idx="55">
                  <c:v>8.2307030476608034E-2</c:v>
                </c:pt>
                <c:pt idx="56">
                  <c:v>0.10261687976922307</c:v>
                </c:pt>
                <c:pt idx="57">
                  <c:v>0.12644772999607135</c:v>
                </c:pt>
                <c:pt idx="58">
                  <c:v>0.15157169709543972</c:v>
                </c:pt>
                <c:pt idx="59">
                  <c:v>0.16694763940254109</c:v>
                </c:pt>
                <c:pt idx="60">
                  <c:v>0.18258481860934861</c:v>
                </c:pt>
                <c:pt idx="61">
                  <c:v>0.19525969585422498</c:v>
                </c:pt>
                <c:pt idx="62">
                  <c:v>0.20622131876453498</c:v>
                </c:pt>
                <c:pt idx="63">
                  <c:v>0.21680248109987499</c:v>
                </c:pt>
                <c:pt idx="64">
                  <c:v>0.24163274196663664</c:v>
                </c:pt>
                <c:pt idx="65">
                  <c:v>0.28243692122370678</c:v>
                </c:pt>
                <c:pt idx="66">
                  <c:v>0.30490223346001422</c:v>
                </c:pt>
                <c:pt idx="67">
                  <c:v>0.29922556319953753</c:v>
                </c:pt>
                <c:pt idx="68">
                  <c:v>0.29945857991274671</c:v>
                </c:pt>
                <c:pt idx="69">
                  <c:v>0.32276024336492881</c:v>
                </c:pt>
                <c:pt idx="70">
                  <c:v>0.38631522355311532</c:v>
                </c:pt>
                <c:pt idx="71">
                  <c:v>0.49709460077991352</c:v>
                </c:pt>
                <c:pt idx="72">
                  <c:v>0.59528483035610069</c:v>
                </c:pt>
                <c:pt idx="73">
                  <c:v>0.66510693829321532</c:v>
                </c:pt>
                <c:pt idx="74">
                  <c:v>0.77026249142598235</c:v>
                </c:pt>
                <c:pt idx="75">
                  <c:v>0.81904620279450846</c:v>
                </c:pt>
                <c:pt idx="76">
                  <c:v>0.8416550342051039</c:v>
                </c:pt>
                <c:pt idx="77">
                  <c:v>0.87861138092271407</c:v>
                </c:pt>
                <c:pt idx="78">
                  <c:v>0.86777661016271068</c:v>
                </c:pt>
                <c:pt idx="79">
                  <c:v>0.87853205867562512</c:v>
                </c:pt>
                <c:pt idx="80">
                  <c:v>0.89540975776309573</c:v>
                </c:pt>
                <c:pt idx="81">
                  <c:v>0.86650048197867502</c:v>
                </c:pt>
                <c:pt idx="82">
                  <c:v>0.78434101221607566</c:v>
                </c:pt>
                <c:pt idx="83">
                  <c:v>0.64777973146863044</c:v>
                </c:pt>
                <c:pt idx="84">
                  <c:v>0.55151717289245727</c:v>
                </c:pt>
                <c:pt idx="85">
                  <c:v>0.46746058210595631</c:v>
                </c:pt>
                <c:pt idx="86">
                  <c:v>0.35912746686341634</c:v>
                </c:pt>
                <c:pt idx="87">
                  <c:v>0.29029056663393327</c:v>
                </c:pt>
                <c:pt idx="88">
                  <c:v>0.24262009131659834</c:v>
                </c:pt>
                <c:pt idx="89">
                  <c:v>0.21178089943951939</c:v>
                </c:pt>
                <c:pt idx="90">
                  <c:v>0.26763965458633088</c:v>
                </c:pt>
                <c:pt idx="91">
                  <c:v>0.31939328205983042</c:v>
                </c:pt>
                <c:pt idx="92">
                  <c:v>0.31031397719182685</c:v>
                </c:pt>
                <c:pt idx="93">
                  <c:v>0.30448919076816239</c:v>
                </c:pt>
                <c:pt idx="94">
                  <c:v>0.30148832549952598</c:v>
                </c:pt>
                <c:pt idx="95">
                  <c:v>0.32803725505377646</c:v>
                </c:pt>
                <c:pt idx="96">
                  <c:v>0.37234077185970271</c:v>
                </c:pt>
                <c:pt idx="97">
                  <c:v>0.40496462151353807</c:v>
                </c:pt>
                <c:pt idx="98">
                  <c:v>0.4049886994871521</c:v>
                </c:pt>
                <c:pt idx="99">
                  <c:v>0.41999329656226525</c:v>
                </c:pt>
                <c:pt idx="100">
                  <c:v>0.42580528181819322</c:v>
                </c:pt>
                <c:pt idx="101">
                  <c:v>0.38905856210652701</c:v>
                </c:pt>
                <c:pt idx="102">
                  <c:v>0.34780190085916729</c:v>
                </c:pt>
                <c:pt idx="103">
                  <c:v>0.28705767889481137</c:v>
                </c:pt>
                <c:pt idx="104">
                  <c:v>0.27637854128393435</c:v>
                </c:pt>
                <c:pt idx="105">
                  <c:v>0.28210684223247462</c:v>
                </c:pt>
                <c:pt idx="106">
                  <c:v>0.28459330372774438</c:v>
                </c:pt>
                <c:pt idx="107">
                  <c:v>0.28131193143228472</c:v>
                </c:pt>
                <c:pt idx="108">
                  <c:v>0.26610258657809815</c:v>
                </c:pt>
                <c:pt idx="109">
                  <c:v>0.25402600143997667</c:v>
                </c:pt>
                <c:pt idx="110">
                  <c:v>0.260252933347485</c:v>
                </c:pt>
                <c:pt idx="111">
                  <c:v>0.26330213056546814</c:v>
                </c:pt>
                <c:pt idx="112">
                  <c:v>0.27612337939734743</c:v>
                </c:pt>
                <c:pt idx="113">
                  <c:v>0.29174951537520766</c:v>
                </c:pt>
                <c:pt idx="114">
                  <c:v>0.29428410774226954</c:v>
                </c:pt>
                <c:pt idx="115">
                  <c:v>0.2933337902657156</c:v>
                </c:pt>
                <c:pt idx="116">
                  <c:v>0.29710459881394691</c:v>
                </c:pt>
                <c:pt idx="117">
                  <c:v>0.29016095786052354</c:v>
                </c:pt>
                <c:pt idx="118">
                  <c:v>0.29443266427022774</c:v>
                </c:pt>
                <c:pt idx="119">
                  <c:v>0.28629000699878038</c:v>
                </c:pt>
                <c:pt idx="120">
                  <c:v>0.26687854700294178</c:v>
                </c:pt>
                <c:pt idx="121">
                  <c:v>0.27422397140897914</c:v>
                </c:pt>
                <c:pt idx="122">
                  <c:v>0.29462307388489872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97-1945-9EF7-B156B7EF0D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2270783"/>
        <c:axId val="1392267199"/>
      </c:barChart>
      <c:lineChart>
        <c:grouping val="standard"/>
        <c:varyColors val="0"/>
        <c:ser>
          <c:idx val="1"/>
          <c:order val="1"/>
          <c:tx>
            <c:strRef>
              <c:f>Log!$F$1:$F$13</c:f>
              <c:strCache>
                <c:ptCount val="13"/>
                <c:pt idx="0">
                  <c:v>Yıllık % Değişim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Log!$A$14:$A$136</c:f>
              <c:numCache>
                <c:formatCode>m/d/yy</c:formatCode>
                <c:ptCount val="123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  <c:pt idx="115">
                  <c:v>45870</c:v>
                </c:pt>
                <c:pt idx="116">
                  <c:v>45901</c:v>
                </c:pt>
                <c:pt idx="117">
                  <c:v>45931</c:v>
                </c:pt>
                <c:pt idx="118">
                  <c:v>45962</c:v>
                </c:pt>
                <c:pt idx="119">
                  <c:v>45992</c:v>
                </c:pt>
                <c:pt idx="120">
                  <c:v>46023</c:v>
                </c:pt>
                <c:pt idx="121">
                  <c:v>46054</c:v>
                </c:pt>
                <c:pt idx="122">
                  <c:v>46082</c:v>
                </c:pt>
              </c:numCache>
            </c:numRef>
          </c:cat>
          <c:val>
            <c:numRef>
              <c:f>Log!$F$14:$F$136</c:f>
              <c:numCache>
                <c:formatCode>0.00%</c:formatCode>
                <c:ptCount val="123"/>
                <c:pt idx="0">
                  <c:v>8.9756997748851042E-3</c:v>
                </c:pt>
                <c:pt idx="1">
                  <c:v>6.6017167755632045E-3</c:v>
                </c:pt>
                <c:pt idx="2">
                  <c:v>6.7436045267461608E-3</c:v>
                </c:pt>
                <c:pt idx="3">
                  <c:v>6.3085885358946658E-3</c:v>
                </c:pt>
                <c:pt idx="4">
                  <c:v>6.2562237753183148E-3</c:v>
                </c:pt>
                <c:pt idx="5">
                  <c:v>6.8287073107655694E-3</c:v>
                </c:pt>
                <c:pt idx="6">
                  <c:v>8.9821469779698404E-3</c:v>
                </c:pt>
                <c:pt idx="7">
                  <c:v>7.7459050795884998E-3</c:v>
                </c:pt>
                <c:pt idx="8">
                  <c:v>7.436773230111049E-3</c:v>
                </c:pt>
                <c:pt idx="9">
                  <c:v>1.0223341785339457E-2</c:v>
                </c:pt>
                <c:pt idx="10">
                  <c:v>1.1130645055936306E-2</c:v>
                </c:pt>
                <c:pt idx="11">
                  <c:v>1.5325437203847825E-2</c:v>
                </c:pt>
                <c:pt idx="12">
                  <c:v>1.6256503960713875E-2</c:v>
                </c:pt>
                <c:pt idx="13">
                  <c:v>1.8955850878406455E-2</c:v>
                </c:pt>
                <c:pt idx="14">
                  <c:v>1.9293449381067918E-2</c:v>
                </c:pt>
                <c:pt idx="15">
                  <c:v>2.1083700530510452E-2</c:v>
                </c:pt>
                <c:pt idx="16">
                  <c:v>1.9209101592103206E-2</c:v>
                </c:pt>
                <c:pt idx="17">
                  <c:v>1.7994079517213546E-2</c:v>
                </c:pt>
                <c:pt idx="18">
                  <c:v>2.0143779128971584E-2</c:v>
                </c:pt>
                <c:pt idx="19">
                  <c:v>2.204405426827738E-2</c:v>
                </c:pt>
                <c:pt idx="20">
                  <c:v>2.2751471626970998E-2</c:v>
                </c:pt>
                <c:pt idx="21">
                  <c:v>2.4672271411994684E-2</c:v>
                </c:pt>
                <c:pt idx="22">
                  <c:v>2.8658154504803246E-2</c:v>
                </c:pt>
                <c:pt idx="23">
                  <c:v>2.7630694224561658E-2</c:v>
                </c:pt>
                <c:pt idx="24">
                  <c:v>3.14909284742384E-2</c:v>
                </c:pt>
                <c:pt idx="25">
                  <c:v>3.1891807621780677E-2</c:v>
                </c:pt>
                <c:pt idx="26">
                  <c:v>3.3507876410652893E-2</c:v>
                </c:pt>
                <c:pt idx="27">
                  <c:v>3.6662044091668511E-2</c:v>
                </c:pt>
                <c:pt idx="28">
                  <c:v>3.9698645290274781E-2</c:v>
                </c:pt>
                <c:pt idx="29">
                  <c:v>4.2774295534875328E-2</c:v>
                </c:pt>
                <c:pt idx="30">
                  <c:v>4.3022550544735916E-2</c:v>
                </c:pt>
                <c:pt idx="31">
                  <c:v>5.027593001670061E-2</c:v>
                </c:pt>
                <c:pt idx="32">
                  <c:v>5.6222373180857765E-2</c:v>
                </c:pt>
                <c:pt idx="33">
                  <c:v>5.8110373723408548E-2</c:v>
                </c:pt>
                <c:pt idx="34">
                  <c:v>5.2813040307325254E-2</c:v>
                </c:pt>
                <c:pt idx="35">
                  <c:v>4.8555119397376556E-2</c:v>
                </c:pt>
                <c:pt idx="36">
                  <c:v>4.5427591955937929E-2</c:v>
                </c:pt>
                <c:pt idx="37">
                  <c:v>4.4140645130850364E-2</c:v>
                </c:pt>
                <c:pt idx="38">
                  <c:v>4.4297048475311795E-2</c:v>
                </c:pt>
                <c:pt idx="39">
                  <c:v>4.1157147799839144E-2</c:v>
                </c:pt>
                <c:pt idx="40">
                  <c:v>4.1858291953526416E-2</c:v>
                </c:pt>
                <c:pt idx="41">
                  <c:v>3.9289009910606465E-2</c:v>
                </c:pt>
                <c:pt idx="42">
                  <c:v>3.7379391246725735E-2</c:v>
                </c:pt>
                <c:pt idx="43">
                  <c:v>2.887521656701475E-2</c:v>
                </c:pt>
                <c:pt idx="44">
                  <c:v>2.0976113253911466E-2</c:v>
                </c:pt>
                <c:pt idx="45">
                  <c:v>1.6849646220924885E-2</c:v>
                </c:pt>
                <c:pt idx="46">
                  <c:v>1.8454112432946035E-2</c:v>
                </c:pt>
                <c:pt idx="47">
                  <c:v>2.1750847293809938E-2</c:v>
                </c:pt>
                <c:pt idx="48">
                  <c:v>1.9160654291701551E-2</c:v>
                </c:pt>
                <c:pt idx="49">
                  <c:v>1.8979168129595214E-2</c:v>
                </c:pt>
                <c:pt idx="50">
                  <c:v>1.6805118596305846E-2</c:v>
                </c:pt>
                <c:pt idx="51">
                  <c:v>1.7467092571739284E-2</c:v>
                </c:pt>
                <c:pt idx="52">
                  <c:v>1.4680304639819175E-2</c:v>
                </c:pt>
                <c:pt idx="53">
                  <c:v>1.4400428338532389E-2</c:v>
                </c:pt>
                <c:pt idx="54">
                  <c:v>1.4609287477078903E-2</c:v>
                </c:pt>
                <c:pt idx="55">
                  <c:v>1.8218993940318118E-2</c:v>
                </c:pt>
                <c:pt idx="56">
                  <c:v>2.2715210018013243E-2</c:v>
                </c:pt>
                <c:pt idx="57">
                  <c:v>2.7934620548643707E-2</c:v>
                </c:pt>
                <c:pt idx="58">
                  <c:v>3.3426086774378527E-2</c:v>
                </c:pt>
                <c:pt idx="59">
                  <c:v>3.67502441745855E-2</c:v>
                </c:pt>
                <c:pt idx="60">
                  <c:v>4.0099004266249239E-2</c:v>
                </c:pt>
                <c:pt idx="61">
                  <c:v>4.2843086802335506E-2</c:v>
                </c:pt>
                <c:pt idx="62">
                  <c:v>4.5210858435209111E-2</c:v>
                </c:pt>
                <c:pt idx="63">
                  <c:v>4.7410763780890486E-2</c:v>
                </c:pt>
                <c:pt idx="64">
                  <c:v>5.2807342493420117E-2</c:v>
                </c:pt>
                <c:pt idx="65">
                  <c:v>6.1737355256562543E-2</c:v>
                </c:pt>
                <c:pt idx="66">
                  <c:v>6.6540452821534091E-2</c:v>
                </c:pt>
                <c:pt idx="67">
                  <c:v>6.5049648939689897E-2</c:v>
                </c:pt>
                <c:pt idx="68">
                  <c:v>6.4815667399223953E-2</c:v>
                </c:pt>
                <c:pt idx="69">
                  <c:v>6.9365940694601669E-2</c:v>
                </c:pt>
                <c:pt idx="70">
                  <c:v>8.2438451497263143E-2</c:v>
                </c:pt>
                <c:pt idx="71">
                  <c:v>0.10554674538935438</c:v>
                </c:pt>
                <c:pt idx="72">
                  <c:v>0.12569530582551036</c:v>
                </c:pt>
                <c:pt idx="73">
                  <c:v>0.13993960933224159</c:v>
                </c:pt>
                <c:pt idx="74">
                  <c:v>0.16156378933602955</c:v>
                </c:pt>
                <c:pt idx="75">
                  <c:v>0.171003135000666</c:v>
                </c:pt>
                <c:pt idx="76">
                  <c:v>0.17471240840292723</c:v>
                </c:pt>
                <c:pt idx="77">
                  <c:v>0.18088655151620192</c:v>
                </c:pt>
                <c:pt idx="78">
                  <c:v>0.17756434103679397</c:v>
                </c:pt>
                <c:pt idx="79">
                  <c:v>0.17932218603326544</c:v>
                </c:pt>
                <c:pt idx="80">
                  <c:v>0.18200806256929059</c:v>
                </c:pt>
                <c:pt idx="81">
                  <c:v>0.17414407665066811</c:v>
                </c:pt>
                <c:pt idx="82">
                  <c:v>0.15462856152198579</c:v>
                </c:pt>
                <c:pt idx="83">
                  <c:v>0.12441021618696335</c:v>
                </c:pt>
                <c:pt idx="84">
                  <c:v>0.10345046048982609</c:v>
                </c:pt>
                <c:pt idx="85">
                  <c:v>8.6280435802361E-2</c:v>
                </c:pt>
                <c:pt idx="86">
                  <c:v>6.4850128044736222E-2</c:v>
                </c:pt>
                <c:pt idx="87">
                  <c:v>5.175717175596084E-2</c:v>
                </c:pt>
                <c:pt idx="88">
                  <c:v>4.2873094451831406E-2</c:v>
                </c:pt>
                <c:pt idx="89">
                  <c:v>3.6922242175233322E-2</c:v>
                </c:pt>
                <c:pt idx="90">
                  <c:v>4.6506497025545324E-2</c:v>
                </c:pt>
                <c:pt idx="91">
                  <c:v>5.5280214414867412E-2</c:v>
                </c:pt>
                <c:pt idx="92">
                  <c:v>5.3364163063758241E-2</c:v>
                </c:pt>
                <c:pt idx="93">
                  <c:v>5.2118317444679541E-2</c:v>
                </c:pt>
                <c:pt idx="94">
                  <c:v>5.1476972251195852E-2</c:v>
                </c:pt>
                <c:pt idx="95">
                  <c:v>5.6030832587196544E-2</c:v>
                </c:pt>
                <c:pt idx="96">
                  <c:v>6.3293795976133937E-2</c:v>
                </c:pt>
                <c:pt idx="97">
                  <c:v>6.8808558661846542E-2</c:v>
                </c:pt>
                <c:pt idx="98">
                  <c:v>6.867784091571516E-2</c:v>
                </c:pt>
                <c:pt idx="99">
                  <c:v>7.11974583300925E-2</c:v>
                </c:pt>
                <c:pt idx="100">
                  <c:v>7.2150218405255595E-2</c:v>
                </c:pt>
                <c:pt idx="101">
                  <c:v>6.5413903390711292E-2</c:v>
                </c:pt>
                <c:pt idx="102">
                  <c:v>5.7750159803156897E-2</c:v>
                </c:pt>
                <c:pt idx="103">
                  <c:v>4.7080960573199659E-2</c:v>
                </c:pt>
                <c:pt idx="104">
                  <c:v>4.5120525219590757E-2</c:v>
                </c:pt>
                <c:pt idx="105">
                  <c:v>4.5895229375106261E-2</c:v>
                </c:pt>
                <c:pt idx="106">
                  <c:v>4.621334520109488E-2</c:v>
                </c:pt>
                <c:pt idx="107">
                  <c:v>4.550042580488145E-2</c:v>
                </c:pt>
                <c:pt idx="108">
                  <c:v>4.2541849239981611E-2</c:v>
                </c:pt>
                <c:pt idx="109">
                  <c:v>4.038346930078629E-2</c:v>
                </c:pt>
                <c:pt idx="110">
                  <c:v>4.1297385440179912E-2</c:v>
                </c:pt>
                <c:pt idx="111">
                  <c:v>4.1668414059125247E-2</c:v>
                </c:pt>
                <c:pt idx="112">
                  <c:v>4.3638935423978786E-2</c:v>
                </c:pt>
                <c:pt idx="113">
                  <c:v>4.6041225106941974E-2</c:v>
                </c:pt>
                <c:pt idx="114">
                  <c:v>4.6196061297651747E-2</c:v>
                </c:pt>
                <c:pt idx="115">
                  <c:v>4.5947086423236527E-2</c:v>
                </c:pt>
                <c:pt idx="116">
                  <c:v>4.641013409741257E-2</c:v>
                </c:pt>
                <c:pt idx="117">
                  <c:v>4.5134092975870121E-2</c:v>
                </c:pt>
                <c:pt idx="118">
                  <c:v>4.5699185812908549E-2</c:v>
                </c:pt>
                <c:pt idx="119">
                  <c:v>4.4290367466099267E-2</c:v>
                </c:pt>
                <c:pt idx="120">
                  <c:v>4.0924881958421144E-2</c:v>
                </c:pt>
                <c:pt idx="121">
                  <c:v>4.1902258036841111E-2</c:v>
                </c:pt>
                <c:pt idx="122">
                  <c:v>4.489716330822402E-2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797-1945-9EF7-B156B7EF0D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92270783"/>
        <c:axId val="1392267199"/>
      </c:lineChart>
      <c:dateAx>
        <c:axId val="1392270783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392267199"/>
        <c:crosses val="autoZero"/>
        <c:auto val="1"/>
        <c:lblOffset val="100"/>
        <c:baseTimeUnit val="months"/>
      </c:dateAx>
      <c:valAx>
        <c:axId val="1392267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392270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Hareketli Ortalama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Log!$G$1:$G$3</c:f>
              <c:strCache>
                <c:ptCount val="3"/>
                <c:pt idx="0">
                  <c:v>3 Aylık Hareketli Ortalama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Log!$A$4:$A$136</c:f>
              <c:numCache>
                <c:formatCode>m/d/yy</c:formatCode>
                <c:ptCount val="133"/>
                <c:pt idx="0">
                  <c:v>42064</c:v>
                </c:pt>
                <c:pt idx="1">
                  <c:v>42095</c:v>
                </c:pt>
                <c:pt idx="2">
                  <c:v>42125</c:v>
                </c:pt>
                <c:pt idx="3">
                  <c:v>42156</c:v>
                </c:pt>
                <c:pt idx="4">
                  <c:v>42186</c:v>
                </c:pt>
                <c:pt idx="5">
                  <c:v>42217</c:v>
                </c:pt>
                <c:pt idx="6">
                  <c:v>42248</c:v>
                </c:pt>
                <c:pt idx="7">
                  <c:v>42278</c:v>
                </c:pt>
                <c:pt idx="8">
                  <c:v>42309</c:v>
                </c:pt>
                <c:pt idx="9">
                  <c:v>42339</c:v>
                </c:pt>
                <c:pt idx="10">
                  <c:v>42370</c:v>
                </c:pt>
                <c:pt idx="11">
                  <c:v>42401</c:v>
                </c:pt>
                <c:pt idx="12">
                  <c:v>42430</c:v>
                </c:pt>
                <c:pt idx="13">
                  <c:v>42461</c:v>
                </c:pt>
                <c:pt idx="14">
                  <c:v>42491</c:v>
                </c:pt>
                <c:pt idx="15">
                  <c:v>42522</c:v>
                </c:pt>
                <c:pt idx="16">
                  <c:v>42552</c:v>
                </c:pt>
                <c:pt idx="17">
                  <c:v>42583</c:v>
                </c:pt>
                <c:pt idx="18">
                  <c:v>42614</c:v>
                </c:pt>
                <c:pt idx="19">
                  <c:v>42644</c:v>
                </c:pt>
                <c:pt idx="20">
                  <c:v>42675</c:v>
                </c:pt>
                <c:pt idx="21">
                  <c:v>42705</c:v>
                </c:pt>
                <c:pt idx="22">
                  <c:v>42736</c:v>
                </c:pt>
                <c:pt idx="23">
                  <c:v>42767</c:v>
                </c:pt>
                <c:pt idx="24">
                  <c:v>42795</c:v>
                </c:pt>
                <c:pt idx="25">
                  <c:v>42826</c:v>
                </c:pt>
                <c:pt idx="26">
                  <c:v>42856</c:v>
                </c:pt>
                <c:pt idx="27">
                  <c:v>42887</c:v>
                </c:pt>
                <c:pt idx="28">
                  <c:v>42917</c:v>
                </c:pt>
                <c:pt idx="29">
                  <c:v>42948</c:v>
                </c:pt>
                <c:pt idx="30">
                  <c:v>42979</c:v>
                </c:pt>
                <c:pt idx="31">
                  <c:v>43009</c:v>
                </c:pt>
                <c:pt idx="32">
                  <c:v>43040</c:v>
                </c:pt>
                <c:pt idx="33">
                  <c:v>43070</c:v>
                </c:pt>
                <c:pt idx="34">
                  <c:v>43101</c:v>
                </c:pt>
                <c:pt idx="35">
                  <c:v>43132</c:v>
                </c:pt>
                <c:pt idx="36">
                  <c:v>43160</c:v>
                </c:pt>
                <c:pt idx="37">
                  <c:v>43191</c:v>
                </c:pt>
                <c:pt idx="38">
                  <c:v>43221</c:v>
                </c:pt>
                <c:pt idx="39">
                  <c:v>43252</c:v>
                </c:pt>
                <c:pt idx="40">
                  <c:v>43282</c:v>
                </c:pt>
                <c:pt idx="41">
                  <c:v>43313</c:v>
                </c:pt>
                <c:pt idx="42">
                  <c:v>43344</c:v>
                </c:pt>
                <c:pt idx="43">
                  <c:v>43374</c:v>
                </c:pt>
                <c:pt idx="44">
                  <c:v>43405</c:v>
                </c:pt>
                <c:pt idx="45">
                  <c:v>43435</c:v>
                </c:pt>
                <c:pt idx="46">
                  <c:v>43466</c:v>
                </c:pt>
                <c:pt idx="47">
                  <c:v>43497</c:v>
                </c:pt>
                <c:pt idx="48">
                  <c:v>43525</c:v>
                </c:pt>
                <c:pt idx="49">
                  <c:v>43556</c:v>
                </c:pt>
                <c:pt idx="50">
                  <c:v>43586</c:v>
                </c:pt>
                <c:pt idx="51">
                  <c:v>43617</c:v>
                </c:pt>
                <c:pt idx="52">
                  <c:v>43647</c:v>
                </c:pt>
                <c:pt idx="53">
                  <c:v>43678</c:v>
                </c:pt>
                <c:pt idx="54">
                  <c:v>43709</c:v>
                </c:pt>
                <c:pt idx="55">
                  <c:v>43739</c:v>
                </c:pt>
                <c:pt idx="56">
                  <c:v>43770</c:v>
                </c:pt>
                <c:pt idx="57">
                  <c:v>43800</c:v>
                </c:pt>
                <c:pt idx="58">
                  <c:v>43831</c:v>
                </c:pt>
                <c:pt idx="59">
                  <c:v>43862</c:v>
                </c:pt>
                <c:pt idx="60">
                  <c:v>43891</c:v>
                </c:pt>
                <c:pt idx="61">
                  <c:v>43922</c:v>
                </c:pt>
                <c:pt idx="62">
                  <c:v>43952</c:v>
                </c:pt>
                <c:pt idx="63">
                  <c:v>43983</c:v>
                </c:pt>
                <c:pt idx="64">
                  <c:v>44013</c:v>
                </c:pt>
                <c:pt idx="65">
                  <c:v>44044</c:v>
                </c:pt>
                <c:pt idx="66">
                  <c:v>44075</c:v>
                </c:pt>
                <c:pt idx="67">
                  <c:v>44105</c:v>
                </c:pt>
                <c:pt idx="68">
                  <c:v>44136</c:v>
                </c:pt>
                <c:pt idx="69">
                  <c:v>44166</c:v>
                </c:pt>
                <c:pt idx="70">
                  <c:v>44197</c:v>
                </c:pt>
                <c:pt idx="71">
                  <c:v>44228</c:v>
                </c:pt>
                <c:pt idx="72">
                  <c:v>44256</c:v>
                </c:pt>
                <c:pt idx="73">
                  <c:v>44287</c:v>
                </c:pt>
                <c:pt idx="74">
                  <c:v>44317</c:v>
                </c:pt>
                <c:pt idx="75">
                  <c:v>44348</c:v>
                </c:pt>
                <c:pt idx="76">
                  <c:v>44378</c:v>
                </c:pt>
                <c:pt idx="77">
                  <c:v>44409</c:v>
                </c:pt>
                <c:pt idx="78">
                  <c:v>44440</c:v>
                </c:pt>
                <c:pt idx="79">
                  <c:v>44470</c:v>
                </c:pt>
                <c:pt idx="80">
                  <c:v>44501</c:v>
                </c:pt>
                <c:pt idx="81">
                  <c:v>44531</c:v>
                </c:pt>
                <c:pt idx="82">
                  <c:v>44562</c:v>
                </c:pt>
                <c:pt idx="83">
                  <c:v>44593</c:v>
                </c:pt>
                <c:pt idx="84">
                  <c:v>44621</c:v>
                </c:pt>
                <c:pt idx="85">
                  <c:v>44652</c:v>
                </c:pt>
                <c:pt idx="86">
                  <c:v>44682</c:v>
                </c:pt>
                <c:pt idx="87">
                  <c:v>44713</c:v>
                </c:pt>
                <c:pt idx="88">
                  <c:v>44743</c:v>
                </c:pt>
                <c:pt idx="89">
                  <c:v>44774</c:v>
                </c:pt>
                <c:pt idx="90">
                  <c:v>44805</c:v>
                </c:pt>
                <c:pt idx="91">
                  <c:v>44835</c:v>
                </c:pt>
                <c:pt idx="92">
                  <c:v>44866</c:v>
                </c:pt>
                <c:pt idx="93">
                  <c:v>44896</c:v>
                </c:pt>
                <c:pt idx="94">
                  <c:v>44927</c:v>
                </c:pt>
                <c:pt idx="95">
                  <c:v>44958</c:v>
                </c:pt>
                <c:pt idx="96">
                  <c:v>44986</c:v>
                </c:pt>
                <c:pt idx="97">
                  <c:v>45017</c:v>
                </c:pt>
                <c:pt idx="98">
                  <c:v>45047</c:v>
                </c:pt>
                <c:pt idx="99">
                  <c:v>45078</c:v>
                </c:pt>
                <c:pt idx="100">
                  <c:v>45108</c:v>
                </c:pt>
                <c:pt idx="101">
                  <c:v>45139</c:v>
                </c:pt>
                <c:pt idx="102">
                  <c:v>45170</c:v>
                </c:pt>
                <c:pt idx="103">
                  <c:v>45200</c:v>
                </c:pt>
                <c:pt idx="104">
                  <c:v>45231</c:v>
                </c:pt>
                <c:pt idx="105">
                  <c:v>45261</c:v>
                </c:pt>
                <c:pt idx="106">
                  <c:v>45292</c:v>
                </c:pt>
                <c:pt idx="107">
                  <c:v>45323</c:v>
                </c:pt>
                <c:pt idx="108">
                  <c:v>45352</c:v>
                </c:pt>
                <c:pt idx="109">
                  <c:v>45383</c:v>
                </c:pt>
                <c:pt idx="110">
                  <c:v>45413</c:v>
                </c:pt>
                <c:pt idx="111">
                  <c:v>45444</c:v>
                </c:pt>
                <c:pt idx="112">
                  <c:v>45474</c:v>
                </c:pt>
                <c:pt idx="113">
                  <c:v>45505</c:v>
                </c:pt>
                <c:pt idx="114">
                  <c:v>45536</c:v>
                </c:pt>
                <c:pt idx="115">
                  <c:v>45566</c:v>
                </c:pt>
                <c:pt idx="116">
                  <c:v>45597</c:v>
                </c:pt>
                <c:pt idx="117">
                  <c:v>45627</c:v>
                </c:pt>
                <c:pt idx="118">
                  <c:v>45658</c:v>
                </c:pt>
                <c:pt idx="119">
                  <c:v>45689</c:v>
                </c:pt>
                <c:pt idx="120">
                  <c:v>45717</c:v>
                </c:pt>
                <c:pt idx="121">
                  <c:v>45748</c:v>
                </c:pt>
                <c:pt idx="122">
                  <c:v>45778</c:v>
                </c:pt>
                <c:pt idx="123">
                  <c:v>45809</c:v>
                </c:pt>
                <c:pt idx="124">
                  <c:v>45839</c:v>
                </c:pt>
                <c:pt idx="125">
                  <c:v>45870</c:v>
                </c:pt>
                <c:pt idx="126">
                  <c:v>45901</c:v>
                </c:pt>
                <c:pt idx="127">
                  <c:v>45931</c:v>
                </c:pt>
                <c:pt idx="128">
                  <c:v>45962</c:v>
                </c:pt>
                <c:pt idx="129">
                  <c:v>45992</c:v>
                </c:pt>
                <c:pt idx="130">
                  <c:v>46023</c:v>
                </c:pt>
                <c:pt idx="131">
                  <c:v>46054</c:v>
                </c:pt>
                <c:pt idx="132">
                  <c:v>46082</c:v>
                </c:pt>
              </c:numCache>
            </c:numRef>
          </c:cat>
          <c:val>
            <c:numRef>
              <c:f>Log!$G$4:$G$136</c:f>
              <c:numCache>
                <c:formatCode>#,##0.00</c:formatCode>
                <c:ptCount val="133"/>
                <c:pt idx="0">
                  <c:v>4.0460792452013408</c:v>
                </c:pt>
                <c:pt idx="1">
                  <c:v>4.0500419958348575</c:v>
                </c:pt>
                <c:pt idx="2">
                  <c:v>4.054036139308284</c:v>
                </c:pt>
                <c:pt idx="3">
                  <c:v>4.0572712889084812</c:v>
                </c:pt>
                <c:pt idx="4">
                  <c:v>4.0581391189569471</c:v>
                </c:pt>
                <c:pt idx="5">
                  <c:v>4.0580815732799236</c:v>
                </c:pt>
                <c:pt idx="6">
                  <c:v>4.0599734005267747</c:v>
                </c:pt>
                <c:pt idx="7">
                  <c:v>4.0630217638763346</c:v>
                </c:pt>
                <c:pt idx="8">
                  <c:v>4.0653158770839815</c:v>
                </c:pt>
                <c:pt idx="9">
                  <c:v>4.0646864602517576</c:v>
                </c:pt>
                <c:pt idx="10">
                  <c:v>4.0688965634396252</c:v>
                </c:pt>
                <c:pt idx="11">
                  <c:v>4.0715721250108787</c:v>
                </c:pt>
                <c:pt idx="12">
                  <c:v>4.0761793137881073</c:v>
                </c:pt>
                <c:pt idx="13">
                  <c:v>4.0765748275786136</c:v>
                </c:pt>
                <c:pt idx="14">
                  <c:v>4.0801278601187123</c:v>
                </c:pt>
                <c:pt idx="15">
                  <c:v>4.0835000015062981</c:v>
                </c:pt>
                <c:pt idx="16">
                  <c:v>4.0879871408894131</c:v>
                </c:pt>
                <c:pt idx="17">
                  <c:v>4.0899448051566454</c:v>
                </c:pt>
                <c:pt idx="18">
                  <c:v>4.0926736372597547</c:v>
                </c:pt>
                <c:pt idx="19">
                  <c:v>4.0974308814083633</c:v>
                </c:pt>
                <c:pt idx="20">
                  <c:v>4.1043301535591494</c:v>
                </c:pt>
                <c:pt idx="21">
                  <c:v>4.1143822645604482</c:v>
                </c:pt>
                <c:pt idx="22">
                  <c:v>4.1268341934083708</c:v>
                </c:pt>
                <c:pt idx="23">
                  <c:v>4.1401660915838248</c:v>
                </c:pt>
                <c:pt idx="24">
                  <c:v>4.1502373511159902</c:v>
                </c:pt>
                <c:pt idx="25">
                  <c:v>4.1572011374597819</c:v>
                </c:pt>
                <c:pt idx="26">
                  <c:v>4.161166332649219</c:v>
                </c:pt>
                <c:pt idx="27">
                  <c:v>4.1628330027881209</c:v>
                </c:pt>
                <c:pt idx="28">
                  <c:v>4.1661328492779646</c:v>
                </c:pt>
                <c:pt idx="29">
                  <c:v>4.1719935801412733</c:v>
                </c:pt>
                <c:pt idx="30">
                  <c:v>4.1812669567001128</c:v>
                </c:pt>
                <c:pt idx="31">
                  <c:v>4.1923176924724137</c:v>
                </c:pt>
                <c:pt idx="32">
                  <c:v>4.2084330192193669</c:v>
                </c:pt>
                <c:pt idx="33">
                  <c:v>4.2254246582856529</c:v>
                </c:pt>
                <c:pt idx="34">
                  <c:v>4.247600676122361</c:v>
                </c:pt>
                <c:pt idx="35">
                  <c:v>4.2657891526712435</c:v>
                </c:pt>
                <c:pt idx="36">
                  <c:v>4.284281288835742</c:v>
                </c:pt>
                <c:pt idx="37">
                  <c:v>4.2986419247177681</c:v>
                </c:pt>
                <c:pt idx="38">
                  <c:v>4.3135671074602895</c:v>
                </c:pt>
                <c:pt idx="39">
                  <c:v>4.3281433211353795</c:v>
                </c:pt>
                <c:pt idx="40">
                  <c:v>4.3404135736999798</c:v>
                </c:pt>
                <c:pt idx="41">
                  <c:v>4.3612470314493441</c:v>
                </c:pt>
                <c:pt idx="42">
                  <c:v>4.3896959662005104</c:v>
                </c:pt>
                <c:pt idx="43">
                  <c:v>4.4223806816215605</c:v>
                </c:pt>
                <c:pt idx="44">
                  <c:v>4.4428827190861764</c:v>
                </c:pt>
                <c:pt idx="45">
                  <c:v>4.4499928357945455</c:v>
                </c:pt>
                <c:pt idx="46">
                  <c:v>4.4553904400458553</c:v>
                </c:pt>
                <c:pt idx="47">
                  <c:v>4.4621565201941449</c:v>
                </c:pt>
                <c:pt idx="48">
                  <c:v>4.475449481438603</c:v>
                </c:pt>
                <c:pt idx="49">
                  <c:v>4.4843177617074126</c:v>
                </c:pt>
                <c:pt idx="50">
                  <c:v>4.4966088013066949</c:v>
                </c:pt>
                <c:pt idx="51">
                  <c:v>4.5045867706631517</c:v>
                </c:pt>
                <c:pt idx="52">
                  <c:v>4.5118798792660177</c:v>
                </c:pt>
                <c:pt idx="53">
                  <c:v>4.5145830904279363</c:v>
                </c:pt>
                <c:pt idx="54">
                  <c:v>4.5171399003923858</c:v>
                </c:pt>
                <c:pt idx="55">
                  <c:v>4.5205832699639643</c:v>
                </c:pt>
                <c:pt idx="56">
                  <c:v>4.5262111092739827</c:v>
                </c:pt>
                <c:pt idx="57">
                  <c:v>4.5346185392181013</c:v>
                </c:pt>
                <c:pt idx="58">
                  <c:v>4.5435487565021404</c:v>
                </c:pt>
                <c:pt idx="59">
                  <c:v>4.5512224983880669</c:v>
                </c:pt>
                <c:pt idx="60">
                  <c:v>4.5574091851708465</c:v>
                </c:pt>
                <c:pt idx="61">
                  <c:v>4.563910234255264</c:v>
                </c:pt>
                <c:pt idx="62">
                  <c:v>4.5699725820055477</c:v>
                </c:pt>
                <c:pt idx="63">
                  <c:v>4.5744696752606728</c:v>
                </c:pt>
                <c:pt idx="64">
                  <c:v>4.5775880052070717</c:v>
                </c:pt>
                <c:pt idx="65">
                  <c:v>4.5856597530863805</c:v>
                </c:pt>
                <c:pt idx="66">
                  <c:v>4.6007741696940956</c:v>
                </c:pt>
                <c:pt idx="67">
                  <c:v>4.6243738167112651</c:v>
                </c:pt>
                <c:pt idx="68">
                  <c:v>4.6530898782275605</c:v>
                </c:pt>
                <c:pt idx="69">
                  <c:v>4.6829408947161193</c:v>
                </c:pt>
                <c:pt idx="70">
                  <c:v>4.7105834748712496</c:v>
                </c:pt>
                <c:pt idx="71">
                  <c:v>4.7328198830101043</c:v>
                </c:pt>
                <c:pt idx="72">
                  <c:v>4.7520977962468818</c:v>
                </c:pt>
                <c:pt idx="73">
                  <c:v>4.7700047328281423</c:v>
                </c:pt>
                <c:pt idx="74">
                  <c:v>4.7915247626158965</c:v>
                </c:pt>
                <c:pt idx="75">
                  <c:v>4.8214270566907453</c:v>
                </c:pt>
                <c:pt idx="76">
                  <c:v>4.8539119707571912</c:v>
                </c:pt>
                <c:pt idx="77">
                  <c:v>4.8811813257141337</c:v>
                </c:pt>
                <c:pt idx="78">
                  <c:v>4.9019696285515293</c:v>
                </c:pt>
                <c:pt idx="79">
                  <c:v>4.9315219455370025</c:v>
                </c:pt>
                <c:pt idx="80">
                  <c:v>4.9892678938378241</c:v>
                </c:pt>
                <c:pt idx="81">
                  <c:v>5.0849975839487715</c:v>
                </c:pt>
                <c:pt idx="82">
                  <c:v>5.2034816931009598</c:v>
                </c:pt>
                <c:pt idx="83">
                  <c:v>5.3186486728198474</c:v>
                </c:pt>
                <c:pt idx="84">
                  <c:v>5.4289825496053155</c:v>
                </c:pt>
                <c:pt idx="85">
                  <c:v>5.5214766103327113</c:v>
                </c:pt>
                <c:pt idx="86">
                  <c:v>5.6018460054244281</c:v>
                </c:pt>
                <c:pt idx="87">
                  <c:v>5.6678645959981884</c:v>
                </c:pt>
                <c:pt idx="88">
                  <c:v>5.716592979187368</c:v>
                </c:pt>
                <c:pt idx="89">
                  <c:v>5.7561546756344839</c:v>
                </c:pt>
                <c:pt idx="90">
                  <c:v>5.7825424374186731</c:v>
                </c:pt>
                <c:pt idx="91">
                  <c:v>5.8116693783428017</c:v>
                </c:pt>
                <c:pt idx="92">
                  <c:v>5.8380183111571062</c:v>
                </c:pt>
                <c:pt idx="93">
                  <c:v>5.8512046591698983</c:v>
                </c:pt>
                <c:pt idx="94">
                  <c:v>5.8646943319600142</c:v>
                </c:pt>
                <c:pt idx="95">
                  <c:v>5.8742345016421957</c:v>
                </c:pt>
                <c:pt idx="96">
                  <c:v>5.8883509568925918</c:v>
                </c:pt>
                <c:pt idx="97">
                  <c:v>5.8937694822004794</c:v>
                </c:pt>
                <c:pt idx="98">
                  <c:v>5.8991920470290777</c:v>
                </c:pt>
                <c:pt idx="99">
                  <c:v>5.9160951151282051</c:v>
                </c:pt>
                <c:pt idx="100">
                  <c:v>5.9572731943015169</c:v>
                </c:pt>
                <c:pt idx="101">
                  <c:v>6.0224259543297096</c:v>
                </c:pt>
                <c:pt idx="102">
                  <c:v>6.0816580753646683</c:v>
                </c:pt>
                <c:pt idx="103">
                  <c:v>6.1230681950160744</c:v>
                </c:pt>
                <c:pt idx="104">
                  <c:v>6.1434488089769443</c:v>
                </c:pt>
                <c:pt idx="105">
                  <c:v>6.1625429162770535</c:v>
                </c:pt>
                <c:pt idx="106">
                  <c:v>6.198649782764349</c:v>
                </c:pt>
                <c:pt idx="107">
                  <c:v>6.2426820511178676</c:v>
                </c:pt>
                <c:pt idx="108">
                  <c:v>6.2824489878460561</c:v>
                </c:pt>
                <c:pt idx="109">
                  <c:v>6.3037516880547981</c:v>
                </c:pt>
                <c:pt idx="110">
                  <c:v>6.3161211396516137</c:v>
                </c:pt>
                <c:pt idx="111">
                  <c:v>6.3277141619571999</c:v>
                </c:pt>
                <c:pt idx="112">
                  <c:v>6.3448284425628119</c:v>
                </c:pt>
                <c:pt idx="113">
                  <c:v>6.3637320016165448</c:v>
                </c:pt>
                <c:pt idx="114">
                  <c:v>6.3854041157106396</c:v>
                </c:pt>
                <c:pt idx="115">
                  <c:v>6.4049158824864811</c:v>
                </c:pt>
                <c:pt idx="116">
                  <c:v>6.4244750380583291</c:v>
                </c:pt>
                <c:pt idx="117">
                  <c:v>6.4452136087412208</c:v>
                </c:pt>
                <c:pt idx="118">
                  <c:v>6.475985723343725</c:v>
                </c:pt>
                <c:pt idx="119">
                  <c:v>6.5098288909346538</c:v>
                </c:pt>
                <c:pt idx="120">
                  <c:v>6.5425761616345754</c:v>
                </c:pt>
                <c:pt idx="121">
                  <c:v>6.5629453765057741</c:v>
                </c:pt>
                <c:pt idx="122">
                  <c:v>6.5826806207550481</c:v>
                </c:pt>
                <c:pt idx="123">
                  <c:v>6.604772503736541</c:v>
                </c:pt>
                <c:pt idx="124">
                  <c:v>6.6322141100677543</c:v>
                </c:pt>
                <c:pt idx="125">
                  <c:v>6.6568544727442758</c:v>
                </c:pt>
                <c:pt idx="126">
                  <c:v>6.6803116146512842</c:v>
                </c:pt>
                <c:pt idx="127">
                  <c:v>6.6984489981332098</c:v>
                </c:pt>
                <c:pt idx="128">
                  <c:v>6.7183744450398954</c:v>
                </c:pt>
                <c:pt idx="129">
                  <c:v>6.7355081517843987</c:v>
                </c:pt>
                <c:pt idx="130">
                  <c:v>6.7585194627677083</c:v>
                </c:pt>
                <c:pt idx="131">
                  <c:v>6.7856263994048875</c:v>
                </c:pt>
                <c:pt idx="132">
                  <c:v>6.8211513590668496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97-CB4B-9FCE-FD4D79C1DACB}"/>
            </c:ext>
          </c:extLst>
        </c:ser>
        <c:ser>
          <c:idx val="1"/>
          <c:order val="1"/>
          <c:tx>
            <c:strRef>
              <c:f>Log!$H$1:$H$3</c:f>
              <c:strCache>
                <c:ptCount val="3"/>
                <c:pt idx="0">
                  <c:v>6 Aylık Hareketli Ortalama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Log!$A$4:$A$136</c:f>
              <c:numCache>
                <c:formatCode>m/d/yy</c:formatCode>
                <c:ptCount val="133"/>
                <c:pt idx="0">
                  <c:v>42064</c:v>
                </c:pt>
                <c:pt idx="1">
                  <c:v>42095</c:v>
                </c:pt>
                <c:pt idx="2">
                  <c:v>42125</c:v>
                </c:pt>
                <c:pt idx="3">
                  <c:v>42156</c:v>
                </c:pt>
                <c:pt idx="4">
                  <c:v>42186</c:v>
                </c:pt>
                <c:pt idx="5">
                  <c:v>42217</c:v>
                </c:pt>
                <c:pt idx="6">
                  <c:v>42248</c:v>
                </c:pt>
                <c:pt idx="7">
                  <c:v>42278</c:v>
                </c:pt>
                <c:pt idx="8">
                  <c:v>42309</c:v>
                </c:pt>
                <c:pt idx="9">
                  <c:v>42339</c:v>
                </c:pt>
                <c:pt idx="10">
                  <c:v>42370</c:v>
                </c:pt>
                <c:pt idx="11">
                  <c:v>42401</c:v>
                </c:pt>
                <c:pt idx="12">
                  <c:v>42430</c:v>
                </c:pt>
                <c:pt idx="13">
                  <c:v>42461</c:v>
                </c:pt>
                <c:pt idx="14">
                  <c:v>42491</c:v>
                </c:pt>
                <c:pt idx="15">
                  <c:v>42522</c:v>
                </c:pt>
                <c:pt idx="16">
                  <c:v>42552</c:v>
                </c:pt>
                <c:pt idx="17">
                  <c:v>42583</c:v>
                </c:pt>
                <c:pt idx="18">
                  <c:v>42614</c:v>
                </c:pt>
                <c:pt idx="19">
                  <c:v>42644</c:v>
                </c:pt>
                <c:pt idx="20">
                  <c:v>42675</c:v>
                </c:pt>
                <c:pt idx="21">
                  <c:v>42705</c:v>
                </c:pt>
                <c:pt idx="22">
                  <c:v>42736</c:v>
                </c:pt>
                <c:pt idx="23">
                  <c:v>42767</c:v>
                </c:pt>
                <c:pt idx="24">
                  <c:v>42795</c:v>
                </c:pt>
                <c:pt idx="25">
                  <c:v>42826</c:v>
                </c:pt>
                <c:pt idx="26">
                  <c:v>42856</c:v>
                </c:pt>
                <c:pt idx="27">
                  <c:v>42887</c:v>
                </c:pt>
                <c:pt idx="28">
                  <c:v>42917</c:v>
                </c:pt>
                <c:pt idx="29">
                  <c:v>42948</c:v>
                </c:pt>
                <c:pt idx="30">
                  <c:v>42979</c:v>
                </c:pt>
                <c:pt idx="31">
                  <c:v>43009</c:v>
                </c:pt>
                <c:pt idx="32">
                  <c:v>43040</c:v>
                </c:pt>
                <c:pt idx="33">
                  <c:v>43070</c:v>
                </c:pt>
                <c:pt idx="34">
                  <c:v>43101</c:v>
                </c:pt>
                <c:pt idx="35">
                  <c:v>43132</c:v>
                </c:pt>
                <c:pt idx="36">
                  <c:v>43160</c:v>
                </c:pt>
                <c:pt idx="37">
                  <c:v>43191</c:v>
                </c:pt>
                <c:pt idx="38">
                  <c:v>43221</c:v>
                </c:pt>
                <c:pt idx="39">
                  <c:v>43252</c:v>
                </c:pt>
                <c:pt idx="40">
                  <c:v>43282</c:v>
                </c:pt>
                <c:pt idx="41">
                  <c:v>43313</c:v>
                </c:pt>
                <c:pt idx="42">
                  <c:v>43344</c:v>
                </c:pt>
                <c:pt idx="43">
                  <c:v>43374</c:v>
                </c:pt>
                <c:pt idx="44">
                  <c:v>43405</c:v>
                </c:pt>
                <c:pt idx="45">
                  <c:v>43435</c:v>
                </c:pt>
                <c:pt idx="46">
                  <c:v>43466</c:v>
                </c:pt>
                <c:pt idx="47">
                  <c:v>43497</c:v>
                </c:pt>
                <c:pt idx="48">
                  <c:v>43525</c:v>
                </c:pt>
                <c:pt idx="49">
                  <c:v>43556</c:v>
                </c:pt>
                <c:pt idx="50">
                  <c:v>43586</c:v>
                </c:pt>
                <c:pt idx="51">
                  <c:v>43617</c:v>
                </c:pt>
                <c:pt idx="52">
                  <c:v>43647</c:v>
                </c:pt>
                <c:pt idx="53">
                  <c:v>43678</c:v>
                </c:pt>
                <c:pt idx="54">
                  <c:v>43709</c:v>
                </c:pt>
                <c:pt idx="55">
                  <c:v>43739</c:v>
                </c:pt>
                <c:pt idx="56">
                  <c:v>43770</c:v>
                </c:pt>
                <c:pt idx="57">
                  <c:v>43800</c:v>
                </c:pt>
                <c:pt idx="58">
                  <c:v>43831</c:v>
                </c:pt>
                <c:pt idx="59">
                  <c:v>43862</c:v>
                </c:pt>
                <c:pt idx="60">
                  <c:v>43891</c:v>
                </c:pt>
                <c:pt idx="61">
                  <c:v>43922</c:v>
                </c:pt>
                <c:pt idx="62">
                  <c:v>43952</c:v>
                </c:pt>
                <c:pt idx="63">
                  <c:v>43983</c:v>
                </c:pt>
                <c:pt idx="64">
                  <c:v>44013</c:v>
                </c:pt>
                <c:pt idx="65">
                  <c:v>44044</c:v>
                </c:pt>
                <c:pt idx="66">
                  <c:v>44075</c:v>
                </c:pt>
                <c:pt idx="67">
                  <c:v>44105</c:v>
                </c:pt>
                <c:pt idx="68">
                  <c:v>44136</c:v>
                </c:pt>
                <c:pt idx="69">
                  <c:v>44166</c:v>
                </c:pt>
                <c:pt idx="70">
                  <c:v>44197</c:v>
                </c:pt>
                <c:pt idx="71">
                  <c:v>44228</c:v>
                </c:pt>
                <c:pt idx="72">
                  <c:v>44256</c:v>
                </c:pt>
                <c:pt idx="73">
                  <c:v>44287</c:v>
                </c:pt>
                <c:pt idx="74">
                  <c:v>44317</c:v>
                </c:pt>
                <c:pt idx="75">
                  <c:v>44348</c:v>
                </c:pt>
                <c:pt idx="76">
                  <c:v>44378</c:v>
                </c:pt>
                <c:pt idx="77">
                  <c:v>44409</c:v>
                </c:pt>
                <c:pt idx="78">
                  <c:v>44440</c:v>
                </c:pt>
                <c:pt idx="79">
                  <c:v>44470</c:v>
                </c:pt>
                <c:pt idx="80">
                  <c:v>44501</c:v>
                </c:pt>
                <c:pt idx="81">
                  <c:v>44531</c:v>
                </c:pt>
                <c:pt idx="82">
                  <c:v>44562</c:v>
                </c:pt>
                <c:pt idx="83">
                  <c:v>44593</c:v>
                </c:pt>
                <c:pt idx="84">
                  <c:v>44621</c:v>
                </c:pt>
                <c:pt idx="85">
                  <c:v>44652</c:v>
                </c:pt>
                <c:pt idx="86">
                  <c:v>44682</c:v>
                </c:pt>
                <c:pt idx="87">
                  <c:v>44713</c:v>
                </c:pt>
                <c:pt idx="88">
                  <c:v>44743</c:v>
                </c:pt>
                <c:pt idx="89">
                  <c:v>44774</c:v>
                </c:pt>
                <c:pt idx="90">
                  <c:v>44805</c:v>
                </c:pt>
                <c:pt idx="91">
                  <c:v>44835</c:v>
                </c:pt>
                <c:pt idx="92">
                  <c:v>44866</c:v>
                </c:pt>
                <c:pt idx="93">
                  <c:v>44896</c:v>
                </c:pt>
                <c:pt idx="94">
                  <c:v>44927</c:v>
                </c:pt>
                <c:pt idx="95">
                  <c:v>44958</c:v>
                </c:pt>
                <c:pt idx="96">
                  <c:v>44986</c:v>
                </c:pt>
                <c:pt idx="97">
                  <c:v>45017</c:v>
                </c:pt>
                <c:pt idx="98">
                  <c:v>45047</c:v>
                </c:pt>
                <c:pt idx="99">
                  <c:v>45078</c:v>
                </c:pt>
                <c:pt idx="100">
                  <c:v>45108</c:v>
                </c:pt>
                <c:pt idx="101">
                  <c:v>45139</c:v>
                </c:pt>
                <c:pt idx="102">
                  <c:v>45170</c:v>
                </c:pt>
                <c:pt idx="103">
                  <c:v>45200</c:v>
                </c:pt>
                <c:pt idx="104">
                  <c:v>45231</c:v>
                </c:pt>
                <c:pt idx="105">
                  <c:v>45261</c:v>
                </c:pt>
                <c:pt idx="106">
                  <c:v>45292</c:v>
                </c:pt>
                <c:pt idx="107">
                  <c:v>45323</c:v>
                </c:pt>
                <c:pt idx="108">
                  <c:v>45352</c:v>
                </c:pt>
                <c:pt idx="109">
                  <c:v>45383</c:v>
                </c:pt>
                <c:pt idx="110">
                  <c:v>45413</c:v>
                </c:pt>
                <c:pt idx="111">
                  <c:v>45444</c:v>
                </c:pt>
                <c:pt idx="112">
                  <c:v>45474</c:v>
                </c:pt>
                <c:pt idx="113">
                  <c:v>45505</c:v>
                </c:pt>
                <c:pt idx="114">
                  <c:v>45536</c:v>
                </c:pt>
                <c:pt idx="115">
                  <c:v>45566</c:v>
                </c:pt>
                <c:pt idx="116">
                  <c:v>45597</c:v>
                </c:pt>
                <c:pt idx="117">
                  <c:v>45627</c:v>
                </c:pt>
                <c:pt idx="118">
                  <c:v>45658</c:v>
                </c:pt>
                <c:pt idx="119">
                  <c:v>45689</c:v>
                </c:pt>
                <c:pt idx="120">
                  <c:v>45717</c:v>
                </c:pt>
                <c:pt idx="121">
                  <c:v>45748</c:v>
                </c:pt>
                <c:pt idx="122">
                  <c:v>45778</c:v>
                </c:pt>
                <c:pt idx="123">
                  <c:v>45809</c:v>
                </c:pt>
                <c:pt idx="124">
                  <c:v>45839</c:v>
                </c:pt>
                <c:pt idx="125">
                  <c:v>45870</c:v>
                </c:pt>
                <c:pt idx="126">
                  <c:v>45901</c:v>
                </c:pt>
                <c:pt idx="127">
                  <c:v>45931</c:v>
                </c:pt>
                <c:pt idx="128">
                  <c:v>45962</c:v>
                </c:pt>
                <c:pt idx="129">
                  <c:v>45992</c:v>
                </c:pt>
                <c:pt idx="130">
                  <c:v>46023</c:v>
                </c:pt>
                <c:pt idx="131">
                  <c:v>46054</c:v>
                </c:pt>
                <c:pt idx="132">
                  <c:v>46082</c:v>
                </c:pt>
              </c:numCache>
            </c:numRef>
          </c:cat>
          <c:val>
            <c:numRef>
              <c:f>Log!$H$4:$H$136</c:f>
              <c:numCache>
                <c:formatCode>General</c:formatCode>
                <c:ptCount val="133"/>
                <c:pt idx="3" formatCode="#,##0.00">
                  <c:v>4.0516752670549119</c:v>
                </c:pt>
                <c:pt idx="4" formatCode="#,##0.00">
                  <c:v>4.0540905573959014</c:v>
                </c:pt>
                <c:pt idx="5" formatCode="#,##0.00">
                  <c:v>4.0560588562941033</c:v>
                </c:pt>
                <c:pt idx="6" formatCode="#,##0.00">
                  <c:v>4.0586223447176275</c:v>
                </c:pt>
                <c:pt idx="7" formatCode="#,##0.00">
                  <c:v>4.0605804414166409</c:v>
                </c:pt>
                <c:pt idx="8" formatCode="#,##0.00">
                  <c:v>4.0616987251819525</c:v>
                </c:pt>
                <c:pt idx="9" formatCode="#,##0.00">
                  <c:v>4.0623299303892653</c:v>
                </c:pt>
                <c:pt idx="10" formatCode="#,##0.00">
                  <c:v>4.0659591636579799</c:v>
                </c:pt>
                <c:pt idx="11" formatCode="#,##0.00">
                  <c:v>4.0684440010474301</c:v>
                </c:pt>
                <c:pt idx="12" formatCode="#,##0.00">
                  <c:v>4.0704328870199324</c:v>
                </c:pt>
                <c:pt idx="13" formatCode="#,##0.00">
                  <c:v>4.0727356955091194</c:v>
                </c:pt>
                <c:pt idx="14" formatCode="#,##0.00">
                  <c:v>4.0758499925647955</c:v>
                </c:pt>
                <c:pt idx="15" formatCode="#,##0.00">
                  <c:v>4.0798396576472031</c:v>
                </c:pt>
                <c:pt idx="16" formatCode="#,##0.00">
                  <c:v>4.0822809842340133</c:v>
                </c:pt>
                <c:pt idx="17" formatCode="#,##0.00">
                  <c:v>4.0850363326376788</c:v>
                </c:pt>
                <c:pt idx="18" formatCode="#,##0.00">
                  <c:v>4.088086819383026</c:v>
                </c:pt>
                <c:pt idx="19" formatCode="#,##0.00">
                  <c:v>4.0927090111488873</c:v>
                </c:pt>
                <c:pt idx="20" formatCode="#,##0.00">
                  <c:v>4.0971374793578974</c:v>
                </c:pt>
                <c:pt idx="21" formatCode="#,##0.00">
                  <c:v>4.1035279509101015</c:v>
                </c:pt>
                <c:pt idx="22" formatCode="#,##0.00">
                  <c:v>4.1121325374083666</c:v>
                </c:pt>
                <c:pt idx="23" formatCode="#,##0.00">
                  <c:v>4.1222481225714871</c:v>
                </c:pt>
                <c:pt idx="24" formatCode="#,##0.00">
                  <c:v>4.1323098078382188</c:v>
                </c:pt>
                <c:pt idx="25" formatCode="#,##0.00">
                  <c:v>4.1420176654340759</c:v>
                </c:pt>
                <c:pt idx="26" formatCode="#,##0.00">
                  <c:v>4.1506662121165219</c:v>
                </c:pt>
                <c:pt idx="27" formatCode="#,##0.00">
                  <c:v>4.1565351769520555</c:v>
                </c:pt>
                <c:pt idx="28" formatCode="#,##0.00">
                  <c:v>4.1616669933688728</c:v>
                </c:pt>
                <c:pt idx="29" formatCode="#,##0.00">
                  <c:v>4.1665799563952461</c:v>
                </c:pt>
                <c:pt idx="30" formatCode="#,##0.00">
                  <c:v>4.1720499797441173</c:v>
                </c:pt>
                <c:pt idx="31" formatCode="#,##0.00">
                  <c:v>4.1792252708751887</c:v>
                </c:pt>
                <c:pt idx="32" formatCode="#,##0.00">
                  <c:v>4.1902132996803196</c:v>
                </c:pt>
                <c:pt idx="33" formatCode="#,##0.00">
                  <c:v>4.2033458074928829</c:v>
                </c:pt>
                <c:pt idx="34" formatCode="#,##0.00">
                  <c:v>4.2199591842973874</c:v>
                </c:pt>
                <c:pt idx="35" formatCode="#,##0.00">
                  <c:v>4.2371110859453056</c:v>
                </c:pt>
                <c:pt idx="36" formatCode="#,##0.00">
                  <c:v>4.2548529735606975</c:v>
                </c:pt>
                <c:pt idx="37" formatCode="#,##0.00">
                  <c:v>4.2731213004200645</c:v>
                </c:pt>
                <c:pt idx="38" formatCode="#,##0.00">
                  <c:v>4.2896781300657665</c:v>
                </c:pt>
                <c:pt idx="39" formatCode="#,##0.00">
                  <c:v>4.3062123049855607</c:v>
                </c:pt>
                <c:pt idx="40" formatCode="#,##0.00">
                  <c:v>4.3195277492088744</c:v>
                </c:pt>
                <c:pt idx="41" formatCode="#,##0.00">
                  <c:v>4.3374070694548168</c:v>
                </c:pt>
                <c:pt idx="42" formatCode="#,##0.00">
                  <c:v>4.3589196436679449</c:v>
                </c:pt>
                <c:pt idx="43" formatCode="#,##0.00">
                  <c:v>4.3813971276607697</c:v>
                </c:pt>
                <c:pt idx="44" formatCode="#,##0.00">
                  <c:v>4.4020648752677598</c:v>
                </c:pt>
                <c:pt idx="45" formatCode="#,##0.00">
                  <c:v>4.4198444009975288</c:v>
                </c:pt>
                <c:pt idx="46" formatCode="#,##0.00">
                  <c:v>4.4388855608337074</c:v>
                </c:pt>
                <c:pt idx="47" formatCode="#,##0.00">
                  <c:v>4.4525196196401611</c:v>
                </c:pt>
                <c:pt idx="48" formatCode="#,##0.00">
                  <c:v>4.4627211586165751</c:v>
                </c:pt>
                <c:pt idx="49" formatCode="#,##0.00">
                  <c:v>4.4698541008766339</c:v>
                </c:pt>
                <c:pt idx="50" formatCode="#,##0.00">
                  <c:v>4.4793826607504199</c:v>
                </c:pt>
                <c:pt idx="51" formatCode="#,##0.00">
                  <c:v>4.4900181260508774</c:v>
                </c:pt>
                <c:pt idx="52" formatCode="#,##0.00">
                  <c:v>4.4980988204867147</c:v>
                </c:pt>
                <c:pt idx="53" formatCode="#,##0.00">
                  <c:v>4.5055959458673156</c:v>
                </c:pt>
                <c:pt idx="54" formatCode="#,##0.00">
                  <c:v>4.5108633355277687</c:v>
                </c:pt>
                <c:pt idx="55" formatCode="#,##0.00">
                  <c:v>4.5162315746149906</c:v>
                </c:pt>
                <c:pt idx="56" formatCode="#,##0.00">
                  <c:v>4.5203970998509595</c:v>
                </c:pt>
                <c:pt idx="57" formatCode="#,##0.00">
                  <c:v>4.525879219805244</c:v>
                </c:pt>
                <c:pt idx="58" formatCode="#,##0.00">
                  <c:v>4.5320660132330524</c:v>
                </c:pt>
                <c:pt idx="59" formatCode="#,##0.00">
                  <c:v>4.5387168038310248</c:v>
                </c:pt>
                <c:pt idx="60" formatCode="#,##0.00">
                  <c:v>4.5460138621944735</c:v>
                </c:pt>
                <c:pt idx="61" formatCode="#,##0.00">
                  <c:v>4.5537294953787022</c:v>
                </c:pt>
                <c:pt idx="62" formatCode="#,##0.00">
                  <c:v>4.5605975401968069</c:v>
                </c:pt>
                <c:pt idx="63" formatCode="#,##0.00">
                  <c:v>4.5659394302157601</c:v>
                </c:pt>
                <c:pt idx="64" formatCode="#,##0.00">
                  <c:v>4.5707491197311683</c:v>
                </c:pt>
                <c:pt idx="65" formatCode="#,##0.00">
                  <c:v>4.5778161675459641</c:v>
                </c:pt>
                <c:pt idx="66" formatCode="#,##0.00">
                  <c:v>4.5876219224773847</c:v>
                </c:pt>
                <c:pt idx="67" formatCode="#,##0.00">
                  <c:v>4.6009809109591684</c:v>
                </c:pt>
                <c:pt idx="68" formatCode="#,##0.00">
                  <c:v>4.6193748156569709</c:v>
                </c:pt>
                <c:pt idx="69" formatCode="#,##0.00">
                  <c:v>4.6418575322051074</c:v>
                </c:pt>
                <c:pt idx="70" formatCode="#,##0.00">
                  <c:v>4.6674786457912578</c:v>
                </c:pt>
                <c:pt idx="71" formatCode="#,##0.00">
                  <c:v>4.6929548806188324</c:v>
                </c:pt>
                <c:pt idx="72" formatCode="#,##0.00">
                  <c:v>4.7175193454815014</c:v>
                </c:pt>
                <c:pt idx="73" formatCode="#,##0.00">
                  <c:v>4.7402941038496964</c:v>
                </c:pt>
                <c:pt idx="74" formatCode="#,##0.00">
                  <c:v>4.7621723228130008</c:v>
                </c:pt>
                <c:pt idx="75" formatCode="#,##0.00">
                  <c:v>4.7867624264688144</c:v>
                </c:pt>
                <c:pt idx="76" formatCode="#,##0.00">
                  <c:v>4.8119583517926658</c:v>
                </c:pt>
                <c:pt idx="77" formatCode="#,##0.00">
                  <c:v>4.8363530441650147</c:v>
                </c:pt>
                <c:pt idx="78" formatCode="#,##0.00">
                  <c:v>4.8616983426211373</c:v>
                </c:pt>
                <c:pt idx="79" formatCode="#,##0.00">
                  <c:v>4.8927169581470968</c:v>
                </c:pt>
                <c:pt idx="80" formatCode="#,##0.00">
                  <c:v>4.9352246097759789</c:v>
                </c:pt>
                <c:pt idx="81" formatCode="#,##0.00">
                  <c:v>4.9934836062501509</c:v>
                </c:pt>
                <c:pt idx="82" formatCode="#,##0.00">
                  <c:v>5.0675018193189816</c:v>
                </c:pt>
                <c:pt idx="83" formatCode="#,##0.00">
                  <c:v>5.1539582833288362</c:v>
                </c:pt>
                <c:pt idx="84" formatCode="#,##0.00">
                  <c:v>5.2569900667770435</c:v>
                </c:pt>
                <c:pt idx="85" formatCode="#,##0.00">
                  <c:v>5.362479151716836</c:v>
                </c:pt>
                <c:pt idx="86" formatCode="#,##0.00">
                  <c:v>5.4602473391221373</c:v>
                </c:pt>
                <c:pt idx="87" formatCode="#,##0.00">
                  <c:v>5.5484235728017524</c:v>
                </c:pt>
                <c:pt idx="88" formatCode="#,##0.00">
                  <c:v>5.6190347947600392</c:v>
                </c:pt>
                <c:pt idx="89" formatCode="#,##0.00">
                  <c:v>5.6790003405294556</c:v>
                </c:pt>
                <c:pt idx="90" formatCode="#,##0.00">
                  <c:v>5.7252035167084303</c:v>
                </c:pt>
                <c:pt idx="91" formatCode="#,##0.00">
                  <c:v>5.7641311787650844</c:v>
                </c:pt>
                <c:pt idx="92" formatCode="#,##0.00">
                  <c:v>5.7970864933957955</c:v>
                </c:pt>
                <c:pt idx="93" formatCode="#,##0.00">
                  <c:v>5.8168735482942857</c:v>
                </c:pt>
                <c:pt idx="94" formatCode="#,##0.00">
                  <c:v>5.838181855151408</c:v>
                </c:pt>
                <c:pt idx="95" formatCode="#,##0.00">
                  <c:v>5.8561264063996505</c:v>
                </c:pt>
                <c:pt idx="96" formatCode="#,##0.00">
                  <c:v>5.8697778080312446</c:v>
                </c:pt>
                <c:pt idx="97" formatCode="#,##0.00">
                  <c:v>5.8792319070802472</c:v>
                </c:pt>
                <c:pt idx="98" formatCode="#,##0.00">
                  <c:v>5.8867132743356363</c:v>
                </c:pt>
                <c:pt idx="99" formatCode="#,##0.00">
                  <c:v>5.9022230360103975</c:v>
                </c:pt>
                <c:pt idx="100" formatCode="#,##0.00">
                  <c:v>5.9255213382509986</c:v>
                </c:pt>
                <c:pt idx="101" formatCode="#,##0.00">
                  <c:v>5.9608090006793937</c:v>
                </c:pt>
                <c:pt idx="102" formatCode="#,##0.00">
                  <c:v>5.9988765952464371</c:v>
                </c:pt>
                <c:pt idx="103" formatCode="#,##0.00">
                  <c:v>6.0401706946587952</c:v>
                </c:pt>
                <c:pt idx="104" formatCode="#,##0.00">
                  <c:v>6.082937381653327</c:v>
                </c:pt>
                <c:pt idx="105" formatCode="#,##0.00">
                  <c:v>6.1221004958208622</c:v>
                </c:pt>
                <c:pt idx="106" formatCode="#,##0.00">
                  <c:v>6.1608589888902117</c:v>
                </c:pt>
                <c:pt idx="107" formatCode="#,##0.00">
                  <c:v>6.1930654300474055</c:v>
                </c:pt>
                <c:pt idx="108" formatCode="#,##0.00">
                  <c:v>6.2224959520615544</c:v>
                </c:pt>
                <c:pt idx="109" formatCode="#,##0.00">
                  <c:v>6.2512007354095731</c:v>
                </c:pt>
                <c:pt idx="110" formatCode="#,##0.00">
                  <c:v>6.2794015953847406</c:v>
                </c:pt>
                <c:pt idx="111" formatCode="#,##0.00">
                  <c:v>6.305081574901628</c:v>
                </c:pt>
                <c:pt idx="112" formatCode="#,##0.00">
                  <c:v>6.3242900653088059</c:v>
                </c:pt>
                <c:pt idx="113" formatCode="#,##0.00">
                  <c:v>6.3399265706340797</c:v>
                </c:pt>
                <c:pt idx="114" formatCode="#,##0.00">
                  <c:v>6.3565591388339193</c:v>
                </c:pt>
                <c:pt idx="115" formatCode="#,##0.00">
                  <c:v>6.3748721625246469</c:v>
                </c:pt>
                <c:pt idx="116" formatCode="#,##0.00">
                  <c:v>6.3941035198374365</c:v>
                </c:pt>
                <c:pt idx="117" formatCode="#,##0.00">
                  <c:v>6.4153088622259302</c:v>
                </c:pt>
                <c:pt idx="118" formatCode="#,##0.00">
                  <c:v>6.4404508029151026</c:v>
                </c:pt>
                <c:pt idx="119" formatCode="#,##0.00">
                  <c:v>6.4671519644964919</c:v>
                </c:pt>
                <c:pt idx="120" formatCode="#,##0.00">
                  <c:v>6.493894885187899</c:v>
                </c:pt>
                <c:pt idx="121" formatCode="#,##0.00">
                  <c:v>6.5194655499247487</c:v>
                </c:pt>
                <c:pt idx="122" formatCode="#,##0.00">
                  <c:v>6.5462547558448501</c:v>
                </c:pt>
                <c:pt idx="123" formatCode="#,##0.00">
                  <c:v>6.5736743326855587</c:v>
                </c:pt>
                <c:pt idx="124" formatCode="#,##0.00">
                  <c:v>6.5975797432867642</c:v>
                </c:pt>
                <c:pt idx="125" formatCode="#,##0.00">
                  <c:v>6.6197675467496611</c:v>
                </c:pt>
                <c:pt idx="126" formatCode="#,##0.00">
                  <c:v>6.6425420591939117</c:v>
                </c:pt>
                <c:pt idx="127" formatCode="#,##0.00">
                  <c:v>6.6653315541004821</c:v>
                </c:pt>
                <c:pt idx="128" formatCode="#,##0.00">
                  <c:v>6.6876144588920852</c:v>
                </c:pt>
                <c:pt idx="129" formatCode="#,##0.00">
                  <c:v>6.707909883217841</c:v>
                </c:pt>
                <c:pt idx="130" formatCode="#,##0.00">
                  <c:v>6.7284842304504595</c:v>
                </c:pt>
                <c:pt idx="131" formatCode="#,##0.00">
                  <c:v>6.7520004222223919</c:v>
                </c:pt>
                <c:pt idx="132" formatCode="#,##0.00">
                  <c:v>6.7783297554256237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97-CB4B-9FCE-FD4D79C1DACB}"/>
            </c:ext>
          </c:extLst>
        </c:ser>
        <c:ser>
          <c:idx val="2"/>
          <c:order val="2"/>
          <c:tx>
            <c:strRef>
              <c:f>Log!$I$1:$I$3</c:f>
              <c:strCache>
                <c:ptCount val="3"/>
                <c:pt idx="0">
                  <c:v>9 Aylık Hareketli Ortalama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Log!$A$4:$A$136</c:f>
              <c:numCache>
                <c:formatCode>m/d/yy</c:formatCode>
                <c:ptCount val="133"/>
                <c:pt idx="0">
                  <c:v>42064</c:v>
                </c:pt>
                <c:pt idx="1">
                  <c:v>42095</c:v>
                </c:pt>
                <c:pt idx="2">
                  <c:v>42125</c:v>
                </c:pt>
                <c:pt idx="3">
                  <c:v>42156</c:v>
                </c:pt>
                <c:pt idx="4">
                  <c:v>42186</c:v>
                </c:pt>
                <c:pt idx="5">
                  <c:v>42217</c:v>
                </c:pt>
                <c:pt idx="6">
                  <c:v>42248</c:v>
                </c:pt>
                <c:pt idx="7">
                  <c:v>42278</c:v>
                </c:pt>
                <c:pt idx="8">
                  <c:v>42309</c:v>
                </c:pt>
                <c:pt idx="9">
                  <c:v>42339</c:v>
                </c:pt>
                <c:pt idx="10">
                  <c:v>42370</c:v>
                </c:pt>
                <c:pt idx="11">
                  <c:v>42401</c:v>
                </c:pt>
                <c:pt idx="12">
                  <c:v>42430</c:v>
                </c:pt>
                <c:pt idx="13">
                  <c:v>42461</c:v>
                </c:pt>
                <c:pt idx="14">
                  <c:v>42491</c:v>
                </c:pt>
                <c:pt idx="15">
                  <c:v>42522</c:v>
                </c:pt>
                <c:pt idx="16">
                  <c:v>42552</c:v>
                </c:pt>
                <c:pt idx="17">
                  <c:v>42583</c:v>
                </c:pt>
                <c:pt idx="18">
                  <c:v>42614</c:v>
                </c:pt>
                <c:pt idx="19">
                  <c:v>42644</c:v>
                </c:pt>
                <c:pt idx="20">
                  <c:v>42675</c:v>
                </c:pt>
                <c:pt idx="21">
                  <c:v>42705</c:v>
                </c:pt>
                <c:pt idx="22">
                  <c:v>42736</c:v>
                </c:pt>
                <c:pt idx="23">
                  <c:v>42767</c:v>
                </c:pt>
                <c:pt idx="24">
                  <c:v>42795</c:v>
                </c:pt>
                <c:pt idx="25">
                  <c:v>42826</c:v>
                </c:pt>
                <c:pt idx="26">
                  <c:v>42856</c:v>
                </c:pt>
                <c:pt idx="27">
                  <c:v>42887</c:v>
                </c:pt>
                <c:pt idx="28">
                  <c:v>42917</c:v>
                </c:pt>
                <c:pt idx="29">
                  <c:v>42948</c:v>
                </c:pt>
                <c:pt idx="30">
                  <c:v>42979</c:v>
                </c:pt>
                <c:pt idx="31">
                  <c:v>43009</c:v>
                </c:pt>
                <c:pt idx="32">
                  <c:v>43040</c:v>
                </c:pt>
                <c:pt idx="33">
                  <c:v>43070</c:v>
                </c:pt>
                <c:pt idx="34">
                  <c:v>43101</c:v>
                </c:pt>
                <c:pt idx="35">
                  <c:v>43132</c:v>
                </c:pt>
                <c:pt idx="36">
                  <c:v>43160</c:v>
                </c:pt>
                <c:pt idx="37">
                  <c:v>43191</c:v>
                </c:pt>
                <c:pt idx="38">
                  <c:v>43221</c:v>
                </c:pt>
                <c:pt idx="39">
                  <c:v>43252</c:v>
                </c:pt>
                <c:pt idx="40">
                  <c:v>43282</c:v>
                </c:pt>
                <c:pt idx="41">
                  <c:v>43313</c:v>
                </c:pt>
                <c:pt idx="42">
                  <c:v>43344</c:v>
                </c:pt>
                <c:pt idx="43">
                  <c:v>43374</c:v>
                </c:pt>
                <c:pt idx="44">
                  <c:v>43405</c:v>
                </c:pt>
                <c:pt idx="45">
                  <c:v>43435</c:v>
                </c:pt>
                <c:pt idx="46">
                  <c:v>43466</c:v>
                </c:pt>
                <c:pt idx="47">
                  <c:v>43497</c:v>
                </c:pt>
                <c:pt idx="48">
                  <c:v>43525</c:v>
                </c:pt>
                <c:pt idx="49">
                  <c:v>43556</c:v>
                </c:pt>
                <c:pt idx="50">
                  <c:v>43586</c:v>
                </c:pt>
                <c:pt idx="51">
                  <c:v>43617</c:v>
                </c:pt>
                <c:pt idx="52">
                  <c:v>43647</c:v>
                </c:pt>
                <c:pt idx="53">
                  <c:v>43678</c:v>
                </c:pt>
                <c:pt idx="54">
                  <c:v>43709</c:v>
                </c:pt>
                <c:pt idx="55">
                  <c:v>43739</c:v>
                </c:pt>
                <c:pt idx="56">
                  <c:v>43770</c:v>
                </c:pt>
                <c:pt idx="57">
                  <c:v>43800</c:v>
                </c:pt>
                <c:pt idx="58">
                  <c:v>43831</c:v>
                </c:pt>
                <c:pt idx="59">
                  <c:v>43862</c:v>
                </c:pt>
                <c:pt idx="60">
                  <c:v>43891</c:v>
                </c:pt>
                <c:pt idx="61">
                  <c:v>43922</c:v>
                </c:pt>
                <c:pt idx="62">
                  <c:v>43952</c:v>
                </c:pt>
                <c:pt idx="63">
                  <c:v>43983</c:v>
                </c:pt>
                <c:pt idx="64">
                  <c:v>44013</c:v>
                </c:pt>
                <c:pt idx="65">
                  <c:v>44044</c:v>
                </c:pt>
                <c:pt idx="66">
                  <c:v>44075</c:v>
                </c:pt>
                <c:pt idx="67">
                  <c:v>44105</c:v>
                </c:pt>
                <c:pt idx="68">
                  <c:v>44136</c:v>
                </c:pt>
                <c:pt idx="69">
                  <c:v>44166</c:v>
                </c:pt>
                <c:pt idx="70">
                  <c:v>44197</c:v>
                </c:pt>
                <c:pt idx="71">
                  <c:v>44228</c:v>
                </c:pt>
                <c:pt idx="72">
                  <c:v>44256</c:v>
                </c:pt>
                <c:pt idx="73">
                  <c:v>44287</c:v>
                </c:pt>
                <c:pt idx="74">
                  <c:v>44317</c:v>
                </c:pt>
                <c:pt idx="75">
                  <c:v>44348</c:v>
                </c:pt>
                <c:pt idx="76">
                  <c:v>44378</c:v>
                </c:pt>
                <c:pt idx="77">
                  <c:v>44409</c:v>
                </c:pt>
                <c:pt idx="78">
                  <c:v>44440</c:v>
                </c:pt>
                <c:pt idx="79">
                  <c:v>44470</c:v>
                </c:pt>
                <c:pt idx="80">
                  <c:v>44501</c:v>
                </c:pt>
                <c:pt idx="81">
                  <c:v>44531</c:v>
                </c:pt>
                <c:pt idx="82">
                  <c:v>44562</c:v>
                </c:pt>
                <c:pt idx="83">
                  <c:v>44593</c:v>
                </c:pt>
                <c:pt idx="84">
                  <c:v>44621</c:v>
                </c:pt>
                <c:pt idx="85">
                  <c:v>44652</c:v>
                </c:pt>
                <c:pt idx="86">
                  <c:v>44682</c:v>
                </c:pt>
                <c:pt idx="87">
                  <c:v>44713</c:v>
                </c:pt>
                <c:pt idx="88">
                  <c:v>44743</c:v>
                </c:pt>
                <c:pt idx="89">
                  <c:v>44774</c:v>
                </c:pt>
                <c:pt idx="90">
                  <c:v>44805</c:v>
                </c:pt>
                <c:pt idx="91">
                  <c:v>44835</c:v>
                </c:pt>
                <c:pt idx="92">
                  <c:v>44866</c:v>
                </c:pt>
                <c:pt idx="93">
                  <c:v>44896</c:v>
                </c:pt>
                <c:pt idx="94">
                  <c:v>44927</c:v>
                </c:pt>
                <c:pt idx="95">
                  <c:v>44958</c:v>
                </c:pt>
                <c:pt idx="96">
                  <c:v>44986</c:v>
                </c:pt>
                <c:pt idx="97">
                  <c:v>45017</c:v>
                </c:pt>
                <c:pt idx="98">
                  <c:v>45047</c:v>
                </c:pt>
                <c:pt idx="99">
                  <c:v>45078</c:v>
                </c:pt>
                <c:pt idx="100">
                  <c:v>45108</c:v>
                </c:pt>
                <c:pt idx="101">
                  <c:v>45139</c:v>
                </c:pt>
                <c:pt idx="102">
                  <c:v>45170</c:v>
                </c:pt>
                <c:pt idx="103">
                  <c:v>45200</c:v>
                </c:pt>
                <c:pt idx="104">
                  <c:v>45231</c:v>
                </c:pt>
                <c:pt idx="105">
                  <c:v>45261</c:v>
                </c:pt>
                <c:pt idx="106">
                  <c:v>45292</c:v>
                </c:pt>
                <c:pt idx="107">
                  <c:v>45323</c:v>
                </c:pt>
                <c:pt idx="108">
                  <c:v>45352</c:v>
                </c:pt>
                <c:pt idx="109">
                  <c:v>45383</c:v>
                </c:pt>
                <c:pt idx="110">
                  <c:v>45413</c:v>
                </c:pt>
                <c:pt idx="111">
                  <c:v>45444</c:v>
                </c:pt>
                <c:pt idx="112">
                  <c:v>45474</c:v>
                </c:pt>
                <c:pt idx="113">
                  <c:v>45505</c:v>
                </c:pt>
                <c:pt idx="114">
                  <c:v>45536</c:v>
                </c:pt>
                <c:pt idx="115">
                  <c:v>45566</c:v>
                </c:pt>
                <c:pt idx="116">
                  <c:v>45597</c:v>
                </c:pt>
                <c:pt idx="117">
                  <c:v>45627</c:v>
                </c:pt>
                <c:pt idx="118">
                  <c:v>45658</c:v>
                </c:pt>
                <c:pt idx="119">
                  <c:v>45689</c:v>
                </c:pt>
                <c:pt idx="120">
                  <c:v>45717</c:v>
                </c:pt>
                <c:pt idx="121">
                  <c:v>45748</c:v>
                </c:pt>
                <c:pt idx="122">
                  <c:v>45778</c:v>
                </c:pt>
                <c:pt idx="123">
                  <c:v>45809</c:v>
                </c:pt>
                <c:pt idx="124">
                  <c:v>45839</c:v>
                </c:pt>
                <c:pt idx="125">
                  <c:v>45870</c:v>
                </c:pt>
                <c:pt idx="126">
                  <c:v>45901</c:v>
                </c:pt>
                <c:pt idx="127">
                  <c:v>45931</c:v>
                </c:pt>
                <c:pt idx="128">
                  <c:v>45962</c:v>
                </c:pt>
                <c:pt idx="129">
                  <c:v>45992</c:v>
                </c:pt>
                <c:pt idx="130">
                  <c:v>46023</c:v>
                </c:pt>
                <c:pt idx="131">
                  <c:v>46054</c:v>
                </c:pt>
                <c:pt idx="132">
                  <c:v>46082</c:v>
                </c:pt>
              </c:numCache>
            </c:numRef>
          </c:cat>
          <c:val>
            <c:numRef>
              <c:f>Log!$I$4:$I$136</c:f>
              <c:numCache>
                <c:formatCode>General</c:formatCode>
                <c:ptCount val="133"/>
                <c:pt idx="6" formatCode="#,##0.00">
                  <c:v>4.0544413115455322</c:v>
                </c:pt>
                <c:pt idx="7" formatCode="#,##0.00">
                  <c:v>4.0570676262227128</c:v>
                </c:pt>
                <c:pt idx="8" formatCode="#,##0.00">
                  <c:v>4.0591445298907285</c:v>
                </c:pt>
                <c:pt idx="9" formatCode="#,##0.00">
                  <c:v>4.0606437165623372</c:v>
                </c:pt>
                <c:pt idx="10" formatCode="#,##0.00">
                  <c:v>4.063352482090969</c:v>
                </c:pt>
                <c:pt idx="11" formatCode="#,##0.00">
                  <c:v>4.0649898584582607</c:v>
                </c:pt>
                <c:pt idx="12" formatCode="#,##0.00">
                  <c:v>4.0669463915222126</c:v>
                </c:pt>
                <c:pt idx="13" formatCode="#,##0.00">
                  <c:v>4.0694977182981908</c:v>
                </c:pt>
                <c:pt idx="14" formatCode="#,##0.00">
                  <c:v>4.0723386207378569</c:v>
                </c:pt>
                <c:pt idx="15" formatCode="#,##0.00">
                  <c:v>4.0747885918487201</c:v>
                </c:pt>
                <c:pt idx="16" formatCode="#,##0.00">
                  <c:v>4.0778195106358837</c:v>
                </c:pt>
                <c:pt idx="17" formatCode="#,##0.00">
                  <c:v>4.0805482634287467</c:v>
                </c:pt>
                <c:pt idx="18" formatCode="#,##0.00">
                  <c:v>4.084117650851387</c:v>
                </c:pt>
                <c:pt idx="19" formatCode="#,##0.00">
                  <c:v>4.0873309499587966</c:v>
                </c:pt>
                <c:pt idx="20" formatCode="#,##0.00">
                  <c:v>4.0914676062781687</c:v>
                </c:pt>
                <c:pt idx="21" formatCode="#,##0.00">
                  <c:v>4.0968519677754998</c:v>
                </c:pt>
                <c:pt idx="22" formatCode="#,##0.00">
                  <c:v>4.1040840719020482</c:v>
                </c:pt>
                <c:pt idx="23" formatCode="#,##0.00">
                  <c:v>4.111480350099872</c:v>
                </c:pt>
                <c:pt idx="24" formatCode="#,##0.00">
                  <c:v>4.1190977509787308</c:v>
                </c:pt>
                <c:pt idx="25" formatCode="#,##0.00">
                  <c:v>4.1271554040921723</c:v>
                </c:pt>
                <c:pt idx="26" formatCode="#,##0.00">
                  <c:v>4.1352208592640638</c:v>
                </c:pt>
                <c:pt idx="27" formatCode="#,##0.00">
                  <c:v>4.1424842061548528</c:v>
                </c:pt>
                <c:pt idx="28" formatCode="#,##0.00">
                  <c:v>4.1500560600487058</c:v>
                </c:pt>
                <c:pt idx="29" formatCode="#,##0.00">
                  <c:v>4.157775334791439</c:v>
                </c:pt>
                <c:pt idx="30" formatCode="#,##0.00">
                  <c:v>4.1647791035347419</c:v>
                </c:pt>
                <c:pt idx="31" formatCode="#,##0.00">
                  <c:v>4.1718838930700537</c:v>
                </c:pt>
                <c:pt idx="32" formatCode="#,##0.00">
                  <c:v>4.1805309773366197</c:v>
                </c:pt>
                <c:pt idx="33" formatCode="#,##0.00">
                  <c:v>4.1898415392579631</c:v>
                </c:pt>
                <c:pt idx="34" formatCode="#,##0.00">
                  <c:v>4.2020170726242467</c:v>
                </c:pt>
                <c:pt idx="35" formatCode="#,##0.00">
                  <c:v>4.2154052506772945</c:v>
                </c:pt>
                <c:pt idx="36" formatCode="#,##0.00">
                  <c:v>4.2303243012738356</c:v>
                </c:pt>
                <c:pt idx="37" formatCode="#,##0.00">
                  <c:v>4.246186764437514</c:v>
                </c:pt>
                <c:pt idx="38" formatCode="#,##0.00">
                  <c:v>4.2625964264502993</c:v>
                </c:pt>
                <c:pt idx="39" formatCode="#,##0.00">
                  <c:v>4.2792830894189251</c:v>
                </c:pt>
                <c:pt idx="40" formatCode="#,##0.00">
                  <c:v>4.2955520581800375</c:v>
                </c:pt>
                <c:pt idx="41" formatCode="#,##0.00">
                  <c:v>4.3135344305269587</c:v>
                </c:pt>
                <c:pt idx="42" formatCode="#,##0.00">
                  <c:v>4.3340401920572109</c:v>
                </c:pt>
                <c:pt idx="43" formatCode="#,##0.00">
                  <c:v>4.3538120600131025</c:v>
                </c:pt>
                <c:pt idx="44" formatCode="#,##0.00">
                  <c:v>4.3725656193319367</c:v>
                </c:pt>
                <c:pt idx="45" formatCode="#,##0.00">
                  <c:v>4.389277374376813</c:v>
                </c:pt>
                <c:pt idx="46" formatCode="#,##0.00">
                  <c:v>4.4060615651224655</c:v>
                </c:pt>
                <c:pt idx="47" formatCode="#,##0.00">
                  <c:v>4.4220954235765548</c:v>
                </c:pt>
                <c:pt idx="48" formatCode="#,##0.00">
                  <c:v>4.4383794278112205</c:v>
                </c:pt>
                <c:pt idx="49" formatCode="#,##0.00">
                  <c:v>4.4540296277916092</c:v>
                </c:pt>
                <c:pt idx="50" formatCode="#,##0.00">
                  <c:v>4.467216013529006</c:v>
                </c:pt>
                <c:pt idx="51" formatCode="#,##0.00">
                  <c:v>4.4766763626321007</c:v>
                </c:pt>
                <c:pt idx="52" formatCode="#,##0.00">
                  <c:v>4.4838626936730943</c:v>
                </c:pt>
                <c:pt idx="53" formatCode="#,##0.00">
                  <c:v>4.491116137309592</c:v>
                </c:pt>
                <c:pt idx="54" formatCode="#,##0.00">
                  <c:v>4.4990587174980474</c:v>
                </c:pt>
                <c:pt idx="55" formatCode="#,##0.00">
                  <c:v>4.5055936369791318</c:v>
                </c:pt>
                <c:pt idx="56" formatCode="#,##0.00">
                  <c:v>4.5124676670028707</c:v>
                </c:pt>
                <c:pt idx="57" formatCode="#,##0.00">
                  <c:v>4.5187817367578793</c:v>
                </c:pt>
                <c:pt idx="58" formatCode="#,##0.00">
                  <c:v>4.5253373019107066</c:v>
                </c:pt>
                <c:pt idx="59" formatCode="#,##0.00">
                  <c:v>4.530672232696662</c:v>
                </c:pt>
                <c:pt idx="60" formatCode="#,##0.00">
                  <c:v>4.5363892082604451</c:v>
                </c:pt>
                <c:pt idx="61" formatCode="#,##0.00">
                  <c:v>4.5426807535737899</c:v>
                </c:pt>
                <c:pt idx="62" formatCode="#,##0.00">
                  <c:v>4.5491353965558652</c:v>
                </c:pt>
                <c:pt idx="63" formatCode="#,##0.00">
                  <c:v>4.5554991332165402</c:v>
                </c:pt>
                <c:pt idx="64" formatCode="#,##0.00">
                  <c:v>4.561682331988159</c:v>
                </c:pt>
                <c:pt idx="65" formatCode="#,##0.00">
                  <c:v>4.5689516111599984</c:v>
                </c:pt>
                <c:pt idx="66" formatCode="#,##0.00">
                  <c:v>4.5775510100418719</c:v>
                </c:pt>
                <c:pt idx="67" formatCode="#,##0.00">
                  <c:v>4.5886240187245342</c:v>
                </c:pt>
                <c:pt idx="68" formatCode="#,##0.00">
                  <c:v>4.6029074044398293</c:v>
                </c:pt>
                <c:pt idx="69" formatCode="#,##0.00">
                  <c:v>4.6193949132236298</c:v>
                </c:pt>
                <c:pt idx="70" formatCode="#,##0.00">
                  <c:v>4.637515098929863</c:v>
                </c:pt>
                <c:pt idx="71" formatCode="#,##0.00">
                  <c:v>4.6571898381080148</c:v>
                </c:pt>
                <c:pt idx="72" formatCode="#,##0.00">
                  <c:v>4.6786042868856992</c:v>
                </c:pt>
                <c:pt idx="73" formatCode="#,##0.00">
                  <c:v>4.7016540081368863</c:v>
                </c:pt>
                <c:pt idx="74" formatCode="#,##0.00">
                  <c:v>4.725811507951188</c:v>
                </c:pt>
                <c:pt idx="75" formatCode="#,##0.00">
                  <c:v>4.7521552492179167</c:v>
                </c:pt>
                <c:pt idx="76" formatCode="#,##0.00">
                  <c:v>4.778166726152195</c:v>
                </c:pt>
                <c:pt idx="77" formatCode="#,##0.00">
                  <c:v>4.8018419904467118</c:v>
                </c:pt>
                <c:pt idx="78" formatCode="#,##0.00">
                  <c:v>4.8251648271630527</c:v>
                </c:pt>
                <c:pt idx="79" formatCode="#,##0.00">
                  <c:v>4.851812883040779</c:v>
                </c:pt>
                <c:pt idx="80" formatCode="#,##0.00">
                  <c:v>4.8873246607226175</c:v>
                </c:pt>
                <c:pt idx="81" formatCode="#,##0.00">
                  <c:v>4.9361314230636815</c:v>
                </c:pt>
                <c:pt idx="82" formatCode="#,##0.00">
                  <c:v>4.9963052031317181</c:v>
                </c:pt>
                <c:pt idx="83" formatCode="#,##0.00">
                  <c:v>5.0630326307906017</c:v>
                </c:pt>
                <c:pt idx="84" formatCode="#,##0.00">
                  <c:v>5.1386499207018721</c:v>
                </c:pt>
                <c:pt idx="85" formatCode="#,##0.00">
                  <c:v>5.2188267496568903</c:v>
                </c:pt>
                <c:pt idx="86" formatCode="#,##0.00">
                  <c:v>5.3032541906940329</c:v>
                </c:pt>
                <c:pt idx="87" formatCode="#,##0.00">
                  <c:v>5.3939482431840915</c:v>
                </c:pt>
                <c:pt idx="88" formatCode="#,##0.00">
                  <c:v>5.4805170942070127</c:v>
                </c:pt>
                <c:pt idx="89" formatCode="#,##0.00">
                  <c:v>5.5588831179595859</c:v>
                </c:pt>
                <c:pt idx="90" formatCode="#,##0.00">
                  <c:v>5.6264631943407259</c:v>
                </c:pt>
                <c:pt idx="91" formatCode="#,##0.00">
                  <c:v>5.6832463226209597</c:v>
                </c:pt>
                <c:pt idx="92" formatCode="#,##0.00">
                  <c:v>5.7320063307386722</c:v>
                </c:pt>
                <c:pt idx="93" formatCode="#,##0.00">
                  <c:v>5.767203897528919</c:v>
                </c:pt>
                <c:pt idx="94" formatCode="#,##0.00">
                  <c:v>5.797652229830061</c:v>
                </c:pt>
                <c:pt idx="95" formatCode="#,##0.00">
                  <c:v>5.8228024961445959</c:v>
                </c:pt>
                <c:pt idx="96" formatCode="#,##0.00">
                  <c:v>5.8406993511603877</c:v>
                </c:pt>
                <c:pt idx="97" formatCode="#,##0.00">
                  <c:v>5.8567110641677651</c:v>
                </c:pt>
                <c:pt idx="98" formatCode="#,##0.00">
                  <c:v>5.8704816199427921</c:v>
                </c:pt>
                <c:pt idx="99" formatCode="#,##0.00">
                  <c:v>5.8852169103968972</c:v>
                </c:pt>
                <c:pt idx="100" formatCode="#,##0.00">
                  <c:v>5.9052456694873365</c:v>
                </c:pt>
                <c:pt idx="101" formatCode="#,##0.00">
                  <c:v>5.9319508343336596</c:v>
                </c:pt>
                <c:pt idx="102" formatCode="#,##0.00">
                  <c:v>5.9620347157951539</c:v>
                </c:pt>
                <c:pt idx="103" formatCode="#,##0.00">
                  <c:v>5.9913702905060235</c:v>
                </c:pt>
                <c:pt idx="104" formatCode="#,##0.00">
                  <c:v>6.0216889367785775</c:v>
                </c:pt>
                <c:pt idx="105" formatCode="#,##0.00">
                  <c:v>6.0534320355899762</c:v>
                </c:pt>
                <c:pt idx="106" formatCode="#,##0.00">
                  <c:v>6.0929970573606456</c:v>
                </c:pt>
                <c:pt idx="107" formatCode="#,##0.00">
                  <c:v>6.1361856048081735</c:v>
                </c:pt>
                <c:pt idx="108" formatCode="#,##0.00">
                  <c:v>6.1755499931625932</c:v>
                </c:pt>
                <c:pt idx="109" formatCode="#,##0.00">
                  <c:v>6.2084898886117408</c:v>
                </c:pt>
                <c:pt idx="110" formatCode="#,##0.00">
                  <c:v>6.2340839999154749</c:v>
                </c:pt>
                <c:pt idx="111" formatCode="#,##0.00">
                  <c:v>6.2575686886934356</c:v>
                </c:pt>
                <c:pt idx="112" formatCode="#,##0.00">
                  <c:v>6.2824099711273185</c:v>
                </c:pt>
                <c:pt idx="113" formatCode="#,##0.00">
                  <c:v>6.3075117307953414</c:v>
                </c:pt>
                <c:pt idx="114" formatCode="#,##0.00">
                  <c:v>6.331855755171298</c:v>
                </c:pt>
                <c:pt idx="115" formatCode="#,##0.00">
                  <c:v>6.3511653377013637</c:v>
                </c:pt>
                <c:pt idx="116" formatCode="#,##0.00">
                  <c:v>6.3681093931088286</c:v>
                </c:pt>
                <c:pt idx="117" formatCode="#,##0.00">
                  <c:v>6.3861106288030198</c:v>
                </c:pt>
                <c:pt idx="118" formatCode="#,##0.00">
                  <c:v>6.4085766827976736</c:v>
                </c:pt>
                <c:pt idx="119" formatCode="#,##0.00">
                  <c:v>6.4326786435365086</c:v>
                </c:pt>
                <c:pt idx="120" formatCode="#,##0.00">
                  <c:v>6.4577312953621453</c:v>
                </c:pt>
                <c:pt idx="121" formatCode="#,##0.00">
                  <c:v>6.4812823274453262</c:v>
                </c:pt>
                <c:pt idx="122" formatCode="#,##0.00">
                  <c:v>6.505661516582677</c:v>
                </c:pt>
                <c:pt idx="123" formatCode="#,##0.00">
                  <c:v>6.5308540913707791</c:v>
                </c:pt>
                <c:pt idx="124" formatCode="#,##0.00">
                  <c:v>6.5570484033057497</c:v>
                </c:pt>
                <c:pt idx="125" formatCode="#,##0.00">
                  <c:v>6.5831213281446583</c:v>
                </c:pt>
                <c:pt idx="126" formatCode="#,##0.00">
                  <c:v>6.6092200933407996</c:v>
                </c:pt>
                <c:pt idx="127" formatCode="#,##0.00">
                  <c:v>6.6312028282355797</c:v>
                </c:pt>
                <c:pt idx="128" formatCode="#,##0.00">
                  <c:v>6.6526365128464056</c:v>
                </c:pt>
                <c:pt idx="129" formatCode="#,##0.00">
                  <c:v>6.6735307567240731</c:v>
                </c:pt>
                <c:pt idx="130" formatCode="#,##0.00">
                  <c:v>6.6963941903228896</c:v>
                </c:pt>
                <c:pt idx="131" formatCode="#,##0.00">
                  <c:v>6.7202851057296851</c:v>
                </c:pt>
                <c:pt idx="132" formatCode="#,##0.00">
                  <c:v>6.7456570418341766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97-CB4B-9FCE-FD4D79C1DACB}"/>
            </c:ext>
          </c:extLst>
        </c:ser>
        <c:ser>
          <c:idx val="3"/>
          <c:order val="3"/>
          <c:tx>
            <c:strRef>
              <c:f>Log!$J$1:$J$3</c:f>
              <c:strCache>
                <c:ptCount val="3"/>
                <c:pt idx="0">
                  <c:v>12 Aylık Hareketli Ortalama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Log!$A$4:$A$136</c:f>
              <c:numCache>
                <c:formatCode>m/d/yy</c:formatCode>
                <c:ptCount val="133"/>
                <c:pt idx="0">
                  <c:v>42064</c:v>
                </c:pt>
                <c:pt idx="1">
                  <c:v>42095</c:v>
                </c:pt>
                <c:pt idx="2">
                  <c:v>42125</c:v>
                </c:pt>
                <c:pt idx="3">
                  <c:v>42156</c:v>
                </c:pt>
                <c:pt idx="4">
                  <c:v>42186</c:v>
                </c:pt>
                <c:pt idx="5">
                  <c:v>42217</c:v>
                </c:pt>
                <c:pt idx="6">
                  <c:v>42248</c:v>
                </c:pt>
                <c:pt idx="7">
                  <c:v>42278</c:v>
                </c:pt>
                <c:pt idx="8">
                  <c:v>42309</c:v>
                </c:pt>
                <c:pt idx="9">
                  <c:v>42339</c:v>
                </c:pt>
                <c:pt idx="10">
                  <c:v>42370</c:v>
                </c:pt>
                <c:pt idx="11">
                  <c:v>42401</c:v>
                </c:pt>
                <c:pt idx="12">
                  <c:v>42430</c:v>
                </c:pt>
                <c:pt idx="13">
                  <c:v>42461</c:v>
                </c:pt>
                <c:pt idx="14">
                  <c:v>42491</c:v>
                </c:pt>
                <c:pt idx="15">
                  <c:v>42522</c:v>
                </c:pt>
                <c:pt idx="16">
                  <c:v>42552</c:v>
                </c:pt>
                <c:pt idx="17">
                  <c:v>42583</c:v>
                </c:pt>
                <c:pt idx="18">
                  <c:v>42614</c:v>
                </c:pt>
                <c:pt idx="19">
                  <c:v>42644</c:v>
                </c:pt>
                <c:pt idx="20">
                  <c:v>42675</c:v>
                </c:pt>
                <c:pt idx="21">
                  <c:v>42705</c:v>
                </c:pt>
                <c:pt idx="22">
                  <c:v>42736</c:v>
                </c:pt>
                <c:pt idx="23">
                  <c:v>42767</c:v>
                </c:pt>
                <c:pt idx="24">
                  <c:v>42795</c:v>
                </c:pt>
                <c:pt idx="25">
                  <c:v>42826</c:v>
                </c:pt>
                <c:pt idx="26">
                  <c:v>42856</c:v>
                </c:pt>
                <c:pt idx="27">
                  <c:v>42887</c:v>
                </c:pt>
                <c:pt idx="28">
                  <c:v>42917</c:v>
                </c:pt>
                <c:pt idx="29">
                  <c:v>42948</c:v>
                </c:pt>
                <c:pt idx="30">
                  <c:v>42979</c:v>
                </c:pt>
                <c:pt idx="31">
                  <c:v>43009</c:v>
                </c:pt>
                <c:pt idx="32">
                  <c:v>43040</c:v>
                </c:pt>
                <c:pt idx="33">
                  <c:v>43070</c:v>
                </c:pt>
                <c:pt idx="34">
                  <c:v>43101</c:v>
                </c:pt>
                <c:pt idx="35">
                  <c:v>43132</c:v>
                </c:pt>
                <c:pt idx="36">
                  <c:v>43160</c:v>
                </c:pt>
                <c:pt idx="37">
                  <c:v>43191</c:v>
                </c:pt>
                <c:pt idx="38">
                  <c:v>43221</c:v>
                </c:pt>
                <c:pt idx="39">
                  <c:v>43252</c:v>
                </c:pt>
                <c:pt idx="40">
                  <c:v>43282</c:v>
                </c:pt>
                <c:pt idx="41">
                  <c:v>43313</c:v>
                </c:pt>
                <c:pt idx="42">
                  <c:v>43344</c:v>
                </c:pt>
                <c:pt idx="43">
                  <c:v>43374</c:v>
                </c:pt>
                <c:pt idx="44">
                  <c:v>43405</c:v>
                </c:pt>
                <c:pt idx="45">
                  <c:v>43435</c:v>
                </c:pt>
                <c:pt idx="46">
                  <c:v>43466</c:v>
                </c:pt>
                <c:pt idx="47">
                  <c:v>43497</c:v>
                </c:pt>
                <c:pt idx="48">
                  <c:v>43525</c:v>
                </c:pt>
                <c:pt idx="49">
                  <c:v>43556</c:v>
                </c:pt>
                <c:pt idx="50">
                  <c:v>43586</c:v>
                </c:pt>
                <c:pt idx="51">
                  <c:v>43617</c:v>
                </c:pt>
                <c:pt idx="52">
                  <c:v>43647</c:v>
                </c:pt>
                <c:pt idx="53">
                  <c:v>43678</c:v>
                </c:pt>
                <c:pt idx="54">
                  <c:v>43709</c:v>
                </c:pt>
                <c:pt idx="55">
                  <c:v>43739</c:v>
                </c:pt>
                <c:pt idx="56">
                  <c:v>43770</c:v>
                </c:pt>
                <c:pt idx="57">
                  <c:v>43800</c:v>
                </c:pt>
                <c:pt idx="58">
                  <c:v>43831</c:v>
                </c:pt>
                <c:pt idx="59">
                  <c:v>43862</c:v>
                </c:pt>
                <c:pt idx="60">
                  <c:v>43891</c:v>
                </c:pt>
                <c:pt idx="61">
                  <c:v>43922</c:v>
                </c:pt>
                <c:pt idx="62">
                  <c:v>43952</c:v>
                </c:pt>
                <c:pt idx="63">
                  <c:v>43983</c:v>
                </c:pt>
                <c:pt idx="64">
                  <c:v>44013</c:v>
                </c:pt>
                <c:pt idx="65">
                  <c:v>44044</c:v>
                </c:pt>
                <c:pt idx="66">
                  <c:v>44075</c:v>
                </c:pt>
                <c:pt idx="67">
                  <c:v>44105</c:v>
                </c:pt>
                <c:pt idx="68">
                  <c:v>44136</c:v>
                </c:pt>
                <c:pt idx="69">
                  <c:v>44166</c:v>
                </c:pt>
                <c:pt idx="70">
                  <c:v>44197</c:v>
                </c:pt>
                <c:pt idx="71">
                  <c:v>44228</c:v>
                </c:pt>
                <c:pt idx="72">
                  <c:v>44256</c:v>
                </c:pt>
                <c:pt idx="73">
                  <c:v>44287</c:v>
                </c:pt>
                <c:pt idx="74">
                  <c:v>44317</c:v>
                </c:pt>
                <c:pt idx="75">
                  <c:v>44348</c:v>
                </c:pt>
                <c:pt idx="76">
                  <c:v>44378</c:v>
                </c:pt>
                <c:pt idx="77">
                  <c:v>44409</c:v>
                </c:pt>
                <c:pt idx="78">
                  <c:v>44440</c:v>
                </c:pt>
                <c:pt idx="79">
                  <c:v>44470</c:v>
                </c:pt>
                <c:pt idx="80">
                  <c:v>44501</c:v>
                </c:pt>
                <c:pt idx="81">
                  <c:v>44531</c:v>
                </c:pt>
                <c:pt idx="82">
                  <c:v>44562</c:v>
                </c:pt>
                <c:pt idx="83">
                  <c:v>44593</c:v>
                </c:pt>
                <c:pt idx="84">
                  <c:v>44621</c:v>
                </c:pt>
                <c:pt idx="85">
                  <c:v>44652</c:v>
                </c:pt>
                <c:pt idx="86">
                  <c:v>44682</c:v>
                </c:pt>
                <c:pt idx="87">
                  <c:v>44713</c:v>
                </c:pt>
                <c:pt idx="88">
                  <c:v>44743</c:v>
                </c:pt>
                <c:pt idx="89">
                  <c:v>44774</c:v>
                </c:pt>
                <c:pt idx="90">
                  <c:v>44805</c:v>
                </c:pt>
                <c:pt idx="91">
                  <c:v>44835</c:v>
                </c:pt>
                <c:pt idx="92">
                  <c:v>44866</c:v>
                </c:pt>
                <c:pt idx="93">
                  <c:v>44896</c:v>
                </c:pt>
                <c:pt idx="94">
                  <c:v>44927</c:v>
                </c:pt>
                <c:pt idx="95">
                  <c:v>44958</c:v>
                </c:pt>
                <c:pt idx="96">
                  <c:v>44986</c:v>
                </c:pt>
                <c:pt idx="97">
                  <c:v>45017</c:v>
                </c:pt>
                <c:pt idx="98">
                  <c:v>45047</c:v>
                </c:pt>
                <c:pt idx="99">
                  <c:v>45078</c:v>
                </c:pt>
                <c:pt idx="100">
                  <c:v>45108</c:v>
                </c:pt>
                <c:pt idx="101">
                  <c:v>45139</c:v>
                </c:pt>
                <c:pt idx="102">
                  <c:v>45170</c:v>
                </c:pt>
                <c:pt idx="103">
                  <c:v>45200</c:v>
                </c:pt>
                <c:pt idx="104">
                  <c:v>45231</c:v>
                </c:pt>
                <c:pt idx="105">
                  <c:v>45261</c:v>
                </c:pt>
                <c:pt idx="106">
                  <c:v>45292</c:v>
                </c:pt>
                <c:pt idx="107">
                  <c:v>45323</c:v>
                </c:pt>
                <c:pt idx="108">
                  <c:v>45352</c:v>
                </c:pt>
                <c:pt idx="109">
                  <c:v>45383</c:v>
                </c:pt>
                <c:pt idx="110">
                  <c:v>45413</c:v>
                </c:pt>
                <c:pt idx="111">
                  <c:v>45444</c:v>
                </c:pt>
                <c:pt idx="112">
                  <c:v>45474</c:v>
                </c:pt>
                <c:pt idx="113">
                  <c:v>45505</c:v>
                </c:pt>
                <c:pt idx="114">
                  <c:v>45536</c:v>
                </c:pt>
                <c:pt idx="115">
                  <c:v>45566</c:v>
                </c:pt>
                <c:pt idx="116">
                  <c:v>45597</c:v>
                </c:pt>
                <c:pt idx="117">
                  <c:v>45627</c:v>
                </c:pt>
                <c:pt idx="118">
                  <c:v>45658</c:v>
                </c:pt>
                <c:pt idx="119">
                  <c:v>45689</c:v>
                </c:pt>
                <c:pt idx="120">
                  <c:v>45717</c:v>
                </c:pt>
                <c:pt idx="121">
                  <c:v>45748</c:v>
                </c:pt>
                <c:pt idx="122">
                  <c:v>45778</c:v>
                </c:pt>
                <c:pt idx="123">
                  <c:v>45809</c:v>
                </c:pt>
                <c:pt idx="124">
                  <c:v>45839</c:v>
                </c:pt>
                <c:pt idx="125">
                  <c:v>45870</c:v>
                </c:pt>
                <c:pt idx="126">
                  <c:v>45901</c:v>
                </c:pt>
                <c:pt idx="127">
                  <c:v>45931</c:v>
                </c:pt>
                <c:pt idx="128">
                  <c:v>45962</c:v>
                </c:pt>
                <c:pt idx="129">
                  <c:v>45992</c:v>
                </c:pt>
                <c:pt idx="130">
                  <c:v>46023</c:v>
                </c:pt>
                <c:pt idx="131">
                  <c:v>46054</c:v>
                </c:pt>
                <c:pt idx="132">
                  <c:v>46082</c:v>
                </c:pt>
              </c:numCache>
            </c:numRef>
          </c:cat>
          <c:val>
            <c:numRef>
              <c:f>Log!$J$4:$J$136</c:f>
              <c:numCache>
                <c:formatCode>General</c:formatCode>
                <c:ptCount val="133"/>
                <c:pt idx="9" formatCode="#,##0.00">
                  <c:v>4.0570025987220886</c:v>
                </c:pt>
                <c:pt idx="10" formatCode="#,##0.00">
                  <c:v>4.0600248605269416</c:v>
                </c:pt>
                <c:pt idx="11" formatCode="#,##0.00">
                  <c:v>4.0622514286707663</c:v>
                </c:pt>
                <c:pt idx="12" formatCode="#,##0.00">
                  <c:v>4.06452761586878</c:v>
                </c:pt>
                <c:pt idx="13" formatCode="#,##0.00">
                  <c:v>4.0666580684628801</c:v>
                </c:pt>
                <c:pt idx="14" formatCode="#,##0.00">
                  <c:v>4.068774358873374</c:v>
                </c:pt>
                <c:pt idx="15" formatCode="#,##0.00">
                  <c:v>4.0710847940182342</c:v>
                </c:pt>
                <c:pt idx="16" formatCode="#,##0.00">
                  <c:v>4.0741200739459957</c:v>
                </c:pt>
                <c:pt idx="17" formatCode="#,##0.00">
                  <c:v>4.076740166842554</c:v>
                </c:pt>
                <c:pt idx="18" formatCode="#,##0.00">
                  <c:v>4.0792598532014788</c:v>
                </c:pt>
                <c:pt idx="19" formatCode="#,##0.00">
                  <c:v>4.0827223533290038</c:v>
                </c:pt>
                <c:pt idx="20" formatCode="#,##0.00">
                  <c:v>4.0864937359613478</c:v>
                </c:pt>
                <c:pt idx="21" formatCode="#,##0.00">
                  <c:v>4.0916838042786532</c:v>
                </c:pt>
                <c:pt idx="22" formatCode="#,##0.00">
                  <c:v>4.09720676082119</c:v>
                </c:pt>
                <c:pt idx="23" formatCode="#,##0.00">
                  <c:v>4.1036422276045821</c:v>
                </c:pt>
                <c:pt idx="24" formatCode="#,##0.00">
                  <c:v>4.1101983136106215</c:v>
                </c:pt>
                <c:pt idx="25" formatCode="#,##0.00">
                  <c:v>4.117363338291482</c:v>
                </c:pt>
                <c:pt idx="26" formatCode="#,##0.00">
                  <c:v>4.1239018457372092</c:v>
                </c:pt>
                <c:pt idx="27" formatCode="#,##0.00">
                  <c:v>4.1300315639310785</c:v>
                </c:pt>
                <c:pt idx="28" formatCode="#,##0.00">
                  <c:v>4.1368997653886206</c:v>
                </c:pt>
                <c:pt idx="29" formatCode="#,##0.00">
                  <c:v>4.1444140394833662</c:v>
                </c:pt>
                <c:pt idx="30" formatCode="#,##0.00">
                  <c:v>4.1521798937911685</c:v>
                </c:pt>
                <c:pt idx="31" formatCode="#,##0.00">
                  <c:v>4.1606214681546332</c:v>
                </c:pt>
                <c:pt idx="32" formatCode="#,##0.00">
                  <c:v>4.1704397558984203</c:v>
                </c:pt>
                <c:pt idx="33" formatCode="#,##0.00">
                  <c:v>4.1799404922224701</c:v>
                </c:pt>
                <c:pt idx="34" formatCode="#,##0.00">
                  <c:v>4.1908130888331305</c:v>
                </c:pt>
                <c:pt idx="35" formatCode="#,##0.00">
                  <c:v>4.2018455211702763</c:v>
                </c:pt>
                <c:pt idx="36" formatCode="#,##0.00">
                  <c:v>4.2134514766524083</c:v>
                </c:pt>
                <c:pt idx="37" formatCode="#,##0.00">
                  <c:v>4.2261732856476266</c:v>
                </c:pt>
                <c:pt idx="38" formatCode="#,##0.00">
                  <c:v>4.2399457148730422</c:v>
                </c:pt>
                <c:pt idx="39" formatCode="#,##0.00">
                  <c:v>4.2547790562392214</c:v>
                </c:pt>
                <c:pt idx="40" formatCode="#,##0.00">
                  <c:v>4.2697434667531313</c:v>
                </c:pt>
                <c:pt idx="41" formatCode="#,##0.00">
                  <c:v>4.2872590777000612</c:v>
                </c:pt>
                <c:pt idx="42" formatCode="#,##0.00">
                  <c:v>4.3068863086143212</c:v>
                </c:pt>
                <c:pt idx="43" formatCode="#,##0.00">
                  <c:v>4.327259214040418</c:v>
                </c:pt>
                <c:pt idx="44" formatCode="#,##0.00">
                  <c:v>4.3458715026667631</c:v>
                </c:pt>
                <c:pt idx="45" formatCode="#,##0.00">
                  <c:v>4.3630283529915443</c:v>
                </c:pt>
                <c:pt idx="46" formatCode="#,##0.00">
                  <c:v>4.3792066550212914</c:v>
                </c:pt>
                <c:pt idx="47" formatCode="#,##0.00">
                  <c:v>4.3949633445474889</c:v>
                </c:pt>
                <c:pt idx="48" formatCode="#,##0.00">
                  <c:v>4.4108204011422609</c:v>
                </c:pt>
                <c:pt idx="49" formatCode="#,##0.00">
                  <c:v>4.4256256142687027</c:v>
                </c:pt>
                <c:pt idx="50" formatCode="#,##0.00">
                  <c:v>4.4407237680090903</c:v>
                </c:pt>
                <c:pt idx="51" formatCode="#,##0.00">
                  <c:v>4.4549312635242035</c:v>
                </c:pt>
                <c:pt idx="52" formatCode="#,##0.00">
                  <c:v>4.4684921906602115</c:v>
                </c:pt>
                <c:pt idx="53" formatCode="#,##0.00">
                  <c:v>4.4790577827537383</c:v>
                </c:pt>
                <c:pt idx="54" formatCode="#,##0.00">
                  <c:v>4.4867922470721719</c:v>
                </c:pt>
                <c:pt idx="55" formatCode="#,##0.00">
                  <c:v>4.4930428377458123</c:v>
                </c:pt>
                <c:pt idx="56" formatCode="#,##0.00">
                  <c:v>4.4998898803006897</c:v>
                </c:pt>
                <c:pt idx="57" formatCode="#,##0.00">
                  <c:v>4.5079486729280607</c:v>
                </c:pt>
                <c:pt idx="58" formatCode="#,##0.00">
                  <c:v>4.515082416859884</c:v>
                </c:pt>
                <c:pt idx="59" formatCode="#,##0.00">
                  <c:v>4.5221563748491702</c:v>
                </c:pt>
                <c:pt idx="60" formatCode="#,##0.00">
                  <c:v>4.5284385988611211</c:v>
                </c:pt>
                <c:pt idx="61" formatCode="#,##0.00">
                  <c:v>4.5349805349968468</c:v>
                </c:pt>
                <c:pt idx="62" formatCode="#,##0.00">
                  <c:v>4.5404973200238832</c:v>
                </c:pt>
                <c:pt idx="63" formatCode="#,##0.00">
                  <c:v>4.545909325010502</c:v>
                </c:pt>
                <c:pt idx="64" formatCode="#,##0.00">
                  <c:v>4.5514075664821103</c:v>
                </c:pt>
                <c:pt idx="65" formatCode="#,##0.00">
                  <c:v>4.5582664856884936</c:v>
                </c:pt>
                <c:pt idx="66" formatCode="#,##0.00">
                  <c:v>4.5668178923359291</c:v>
                </c:pt>
                <c:pt idx="67" formatCode="#,##0.00">
                  <c:v>4.5773552031689357</c:v>
                </c:pt>
                <c:pt idx="68" formatCode="#,##0.00">
                  <c:v>4.5899861779268889</c:v>
                </c:pt>
                <c:pt idx="69" formatCode="#,##0.00">
                  <c:v>4.6038984812104333</c:v>
                </c:pt>
                <c:pt idx="70" formatCode="#,##0.00">
                  <c:v>4.619113882761213</c:v>
                </c:pt>
                <c:pt idx="71" formatCode="#,##0.00">
                  <c:v>4.6353855240823982</c:v>
                </c:pt>
                <c:pt idx="72" formatCode="#,##0.00">
                  <c:v>4.652570633979443</c:v>
                </c:pt>
                <c:pt idx="73" formatCode="#,##0.00">
                  <c:v>4.6706375074044333</c:v>
                </c:pt>
                <c:pt idx="74" formatCode="#,##0.00">
                  <c:v>4.6907735692349855</c:v>
                </c:pt>
                <c:pt idx="75" formatCode="#,##0.00">
                  <c:v>4.7143099793369609</c:v>
                </c:pt>
                <c:pt idx="76" formatCode="#,##0.00">
                  <c:v>4.7397184987919623</c:v>
                </c:pt>
                <c:pt idx="77" formatCode="#,##0.00">
                  <c:v>4.7646539623919244</c:v>
                </c:pt>
                <c:pt idx="78" formatCode="#,##0.00">
                  <c:v>4.7896088440513198</c:v>
                </c:pt>
                <c:pt idx="79" formatCode="#,##0.00">
                  <c:v>4.8165055309983975</c:v>
                </c:pt>
                <c:pt idx="80" formatCode="#,##0.00">
                  <c:v>4.848698466294489</c:v>
                </c:pt>
                <c:pt idx="81" formatCode="#,##0.00">
                  <c:v>4.8901230163594827</c:v>
                </c:pt>
                <c:pt idx="82" formatCode="#,##0.00">
                  <c:v>4.9397300855558237</c:v>
                </c:pt>
                <c:pt idx="83" formatCode="#,##0.00">
                  <c:v>4.9951556637469254</c:v>
                </c:pt>
                <c:pt idx="84" formatCode="#,##0.00">
                  <c:v>5.05934420469909</c:v>
                </c:pt>
                <c:pt idx="85" formatCode="#,##0.00">
                  <c:v>5.1275980549319664</c:v>
                </c:pt>
                <c:pt idx="86" formatCode="#,##0.00">
                  <c:v>5.1977359744490581</c:v>
                </c:pt>
                <c:pt idx="87" formatCode="#,##0.00">
                  <c:v>5.2709535895259512</c:v>
                </c:pt>
                <c:pt idx="88" formatCode="#,##0.00">
                  <c:v>5.3432683070395095</c:v>
                </c:pt>
                <c:pt idx="89" formatCode="#,##0.00">
                  <c:v>5.4164793119291454</c:v>
                </c:pt>
                <c:pt idx="90" formatCode="#,##0.00">
                  <c:v>5.4910967917427369</c:v>
                </c:pt>
                <c:pt idx="91" formatCode="#,##0.00">
                  <c:v>5.5633051652409611</c:v>
                </c:pt>
                <c:pt idx="92" formatCode="#,##0.00">
                  <c:v>5.6286669162589655</c:v>
                </c:pt>
                <c:pt idx="93" formatCode="#,##0.00">
                  <c:v>5.6826485605480181</c:v>
                </c:pt>
                <c:pt idx="94" formatCode="#,##0.00">
                  <c:v>5.7286083249557231</c:v>
                </c:pt>
                <c:pt idx="95" formatCode="#,##0.00">
                  <c:v>5.7675633734645535</c:v>
                </c:pt>
                <c:pt idx="96" formatCode="#,##0.00">
                  <c:v>5.7974906623698379</c:v>
                </c:pt>
                <c:pt idx="97" formatCode="#,##0.00">
                  <c:v>5.8216815429226658</c:v>
                </c:pt>
                <c:pt idx="98" formatCode="#,##0.00">
                  <c:v>5.8418998838657172</c:v>
                </c:pt>
                <c:pt idx="99" formatCode="#,##0.00">
                  <c:v>5.8595482921523425</c:v>
                </c:pt>
                <c:pt idx="100" formatCode="#,##0.00">
                  <c:v>5.8818515967012024</c:v>
                </c:pt>
                <c:pt idx="101" formatCode="#,##0.00">
                  <c:v>5.9084677035395217</c:v>
                </c:pt>
                <c:pt idx="102" formatCode="#,##0.00">
                  <c:v>5.9343272016388413</c:v>
                </c:pt>
                <c:pt idx="103" formatCode="#,##0.00">
                  <c:v>5.9597013008695212</c:v>
                </c:pt>
                <c:pt idx="104" formatCode="#,##0.00">
                  <c:v>5.9848253279944812</c:v>
                </c:pt>
                <c:pt idx="105" formatCode="#,##0.00">
                  <c:v>6.0121617659156286</c:v>
                </c:pt>
                <c:pt idx="106" formatCode="#,##0.00">
                  <c:v>6.043190163570606</c:v>
                </c:pt>
                <c:pt idx="107" formatCode="#,##0.00">
                  <c:v>6.0769372153634</c:v>
                </c:pt>
                <c:pt idx="108" formatCode="#,##0.00">
                  <c:v>6.1106862736539966</c:v>
                </c:pt>
                <c:pt idx="109" formatCode="#,##0.00">
                  <c:v>6.1456857150341833</c:v>
                </c:pt>
                <c:pt idx="110" formatCode="#,##0.00">
                  <c:v>6.1811694885190329</c:v>
                </c:pt>
                <c:pt idx="111" formatCode="#,##0.00">
                  <c:v>6.2135910353612447</c:v>
                </c:pt>
                <c:pt idx="112" formatCode="#,##0.00">
                  <c:v>6.2425745270995074</c:v>
                </c:pt>
                <c:pt idx="113" formatCode="#,##0.00">
                  <c:v>6.2664960003407435</c:v>
                </c:pt>
                <c:pt idx="114" formatCode="#,##0.00">
                  <c:v>6.2895275454477373</c:v>
                </c:pt>
                <c:pt idx="115" formatCode="#,##0.00">
                  <c:v>6.31303644896711</c:v>
                </c:pt>
                <c:pt idx="116" formatCode="#,##0.00">
                  <c:v>6.3367525576110886</c:v>
                </c:pt>
                <c:pt idx="117" formatCode="#,##0.00">
                  <c:v>6.3601952185637787</c:v>
                </c:pt>
                <c:pt idx="118" formatCode="#,##0.00">
                  <c:v>6.3823704341119551</c:v>
                </c:pt>
                <c:pt idx="119" formatCode="#,##0.00">
                  <c:v>6.4035392675652858</c:v>
                </c:pt>
                <c:pt idx="120" formatCode="#,##0.00">
                  <c:v>6.4252270120109083</c:v>
                </c:pt>
                <c:pt idx="121" formatCode="#,##0.00">
                  <c:v>6.4471688562246987</c:v>
                </c:pt>
                <c:pt idx="122" formatCode="#,##0.00">
                  <c:v>6.4701791378411428</c:v>
                </c:pt>
                <c:pt idx="123" formatCode="#,##0.00">
                  <c:v>6.4944915974557444</c:v>
                </c:pt>
                <c:pt idx="124" formatCode="#,##0.00">
                  <c:v>6.5190152731009334</c:v>
                </c:pt>
                <c:pt idx="125" formatCode="#,##0.00">
                  <c:v>6.5434597556230765</c:v>
                </c:pt>
                <c:pt idx="126" formatCode="#,##0.00">
                  <c:v>6.5682184721909058</c:v>
                </c:pt>
                <c:pt idx="127" formatCode="#,##0.00">
                  <c:v>6.5923985520126154</c:v>
                </c:pt>
                <c:pt idx="128" formatCode="#,##0.00">
                  <c:v>6.6169346073684681</c:v>
                </c:pt>
                <c:pt idx="129" formatCode="#,##0.00">
                  <c:v>6.6407921079517003</c:v>
                </c:pt>
                <c:pt idx="130" formatCode="#,##0.00">
                  <c:v>6.663031986868611</c:v>
                </c:pt>
                <c:pt idx="131" formatCode="#,##0.00">
                  <c:v>6.6858839844860256</c:v>
                </c:pt>
                <c:pt idx="132" formatCode="#,##0.00">
                  <c:v>6.7104359073097664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597-CB4B-9FCE-FD4D79C1D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1164735"/>
        <c:axId val="1391150847"/>
      </c:areaChart>
      <c:dateAx>
        <c:axId val="1391164735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391150847"/>
        <c:crosses val="autoZero"/>
        <c:auto val="1"/>
        <c:lblOffset val="100"/>
        <c:baseTimeUnit val="months"/>
      </c:dateAx>
      <c:valAx>
        <c:axId val="139115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3911647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313764</xdr:colOff>
      <xdr:row>1</xdr:row>
      <xdr:rowOff>40341</xdr:rowOff>
    </xdr:from>
    <xdr:to>
      <xdr:col>17</xdr:col>
      <xdr:colOff>179293</xdr:colOff>
      <xdr:row>15</xdr:row>
      <xdr:rowOff>64247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1B1B415-B3A5-1EB6-5120-C234F91EB9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343647</xdr:colOff>
      <xdr:row>18</xdr:row>
      <xdr:rowOff>129988</xdr:rowOff>
    </xdr:from>
    <xdr:to>
      <xdr:col>17</xdr:col>
      <xdr:colOff>209176</xdr:colOff>
      <xdr:row>32</xdr:row>
      <xdr:rowOff>153894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0D9F552-81D7-EB02-CDF5-A7F06E6767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358588</xdr:colOff>
      <xdr:row>34</xdr:row>
      <xdr:rowOff>85164</xdr:rowOff>
    </xdr:from>
    <xdr:to>
      <xdr:col>17</xdr:col>
      <xdr:colOff>224117</xdr:colOff>
      <xdr:row>48</xdr:row>
      <xdr:rowOff>109070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5BAC9BB-D87E-49F9-F355-55A6AC8855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403412</xdr:colOff>
      <xdr:row>50</xdr:row>
      <xdr:rowOff>25400</xdr:rowOff>
    </xdr:from>
    <xdr:to>
      <xdr:col>17</xdr:col>
      <xdr:colOff>268941</xdr:colOff>
      <xdr:row>64</xdr:row>
      <xdr:rowOff>49306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D939E85-13F8-25E5-0DEF-5F4E1A53BB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107950</xdr:colOff>
      <xdr:row>0</xdr:row>
      <xdr:rowOff>152400</xdr:rowOff>
    </xdr:from>
    <xdr:to>
      <xdr:col>15</xdr:col>
      <xdr:colOff>552450</xdr:colOff>
      <xdr:row>15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F11014-C838-BF31-7F79-D4152E88F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133350</xdr:colOff>
      <xdr:row>16</xdr:row>
      <xdr:rowOff>177800</xdr:rowOff>
    </xdr:from>
    <xdr:to>
      <xdr:col>15</xdr:col>
      <xdr:colOff>577850</xdr:colOff>
      <xdr:row>31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7C1B929-B92D-D3B0-0462-43CF083F02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108023</xdr:colOff>
      <xdr:row>33</xdr:row>
      <xdr:rowOff>110066</xdr:rowOff>
    </xdr:from>
    <xdr:to>
      <xdr:col>15</xdr:col>
      <xdr:colOff>519678</xdr:colOff>
      <xdr:row>48</xdr:row>
      <xdr:rowOff>6714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5BA9078-2E91-661D-CCC4-BCCCAF5BB4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108024</xdr:colOff>
      <xdr:row>48</xdr:row>
      <xdr:rowOff>168456</xdr:rowOff>
    </xdr:from>
    <xdr:to>
      <xdr:col>15</xdr:col>
      <xdr:colOff>519679</xdr:colOff>
      <xdr:row>63</xdr:row>
      <xdr:rowOff>65105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FECCCC5-B145-E013-EAFE-9838263CBD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3F71D37-A4B0-1441-84B7-F8F104586668}">
  <we:reference id="wa200005502" version="1.0.0.12" store="tr-TR" storeType="OMEX"/>
  <we:alternateReferences>
    <we:reference id="wa200005502" version="1.0.0.12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86DDC-79DD-6346-8994-FFBF9790C658}">
  <dimension ref="A1:B136"/>
  <sheetViews>
    <sheetView tabSelected="1" workbookViewId="0">
      <selection activeCell="B1" sqref="B1"/>
    </sheetView>
  </sheetViews>
  <sheetFormatPr baseColWidth="10" defaultRowHeight="15" x14ac:dyDescent="0.2"/>
  <cols>
    <col min="1" max="1" width="9.1640625" bestFit="1" customWidth="1"/>
    <col min="2" max="2" width="21.5" bestFit="1" customWidth="1"/>
  </cols>
  <sheetData>
    <row r="1" spans="1:2" x14ac:dyDescent="0.2">
      <c r="A1" s="8" t="s">
        <v>0</v>
      </c>
      <c r="B1" s="2" t="s">
        <v>1</v>
      </c>
    </row>
    <row r="2" spans="1:2" x14ac:dyDescent="0.2">
      <c r="A2" s="9">
        <v>42005</v>
      </c>
      <c r="B2" s="3">
        <v>56.86</v>
      </c>
    </row>
    <row r="3" spans="1:2" x14ac:dyDescent="0.2">
      <c r="A3" s="9">
        <v>42036</v>
      </c>
      <c r="B3" s="3">
        <v>57.24</v>
      </c>
    </row>
    <row r="4" spans="1:2" x14ac:dyDescent="0.2">
      <c r="A4" s="9">
        <v>42064</v>
      </c>
      <c r="B4" s="3">
        <v>57.42</v>
      </c>
    </row>
    <row r="5" spans="1:2" x14ac:dyDescent="0.2">
      <c r="A5" s="9">
        <v>42095</v>
      </c>
      <c r="B5" s="3">
        <v>57.54</v>
      </c>
    </row>
    <row r="6" spans="1:2" x14ac:dyDescent="0.2">
      <c r="A6" s="9">
        <v>42125</v>
      </c>
      <c r="B6" s="3">
        <v>57.93</v>
      </c>
    </row>
    <row r="7" spans="1:2" x14ac:dyDescent="0.2">
      <c r="A7" s="9">
        <v>42156</v>
      </c>
      <c r="B7" s="3">
        <v>57.98</v>
      </c>
    </row>
    <row r="8" spans="1:2" x14ac:dyDescent="0.2">
      <c r="A8" s="9">
        <v>42186</v>
      </c>
      <c r="B8" s="3">
        <v>57.69</v>
      </c>
    </row>
    <row r="9" spans="1:2" x14ac:dyDescent="0.2">
      <c r="A9" s="9">
        <v>42217</v>
      </c>
      <c r="B9" s="3">
        <v>57.92</v>
      </c>
    </row>
    <row r="10" spans="1:2" x14ac:dyDescent="0.2">
      <c r="A10" s="9">
        <v>42248</v>
      </c>
      <c r="B10" s="3">
        <v>58.31</v>
      </c>
    </row>
    <row r="11" spans="1:2" x14ac:dyDescent="0.2">
      <c r="A11" s="9">
        <v>42278</v>
      </c>
      <c r="B11" s="3">
        <v>58.22</v>
      </c>
    </row>
    <row r="12" spans="1:2" x14ac:dyDescent="0.2">
      <c r="A12" s="9">
        <v>42309</v>
      </c>
      <c r="B12" s="3">
        <v>58.32</v>
      </c>
    </row>
    <row r="13" spans="1:2" x14ac:dyDescent="0.2">
      <c r="A13" s="9">
        <v>42339</v>
      </c>
      <c r="B13" s="3">
        <v>58.2</v>
      </c>
    </row>
    <row r="14" spans="1:2" x14ac:dyDescent="0.2">
      <c r="A14" s="9">
        <v>42370</v>
      </c>
      <c r="B14" s="3">
        <v>58.96</v>
      </c>
    </row>
    <row r="15" spans="1:2" x14ac:dyDescent="0.2">
      <c r="A15" s="9">
        <v>42401</v>
      </c>
      <c r="B15" s="3">
        <v>58.79</v>
      </c>
    </row>
    <row r="16" spans="1:2" x14ac:dyDescent="0.2">
      <c r="A16" s="9">
        <v>42430</v>
      </c>
      <c r="B16" s="3">
        <v>59.01</v>
      </c>
    </row>
    <row r="17" spans="1:2" x14ac:dyDescent="0.2">
      <c r="A17" s="9">
        <v>42461</v>
      </c>
      <c r="B17" s="3">
        <v>59.03</v>
      </c>
    </row>
    <row r="18" spans="1:2" x14ac:dyDescent="0.2">
      <c r="A18" s="9">
        <v>42491</v>
      </c>
      <c r="B18" s="3">
        <v>59.42</v>
      </c>
    </row>
    <row r="19" spans="1:2" x14ac:dyDescent="0.2">
      <c r="A19" s="9">
        <v>42522</v>
      </c>
      <c r="B19" s="3">
        <v>59.61</v>
      </c>
    </row>
    <row r="20" spans="1:2" x14ac:dyDescent="0.2">
      <c r="A20" s="9">
        <v>42552</v>
      </c>
      <c r="B20" s="3">
        <v>59.83</v>
      </c>
    </row>
    <row r="21" spans="1:2" x14ac:dyDescent="0.2">
      <c r="A21" s="9">
        <v>42583</v>
      </c>
      <c r="B21" s="3">
        <v>59.77</v>
      </c>
    </row>
    <row r="22" spans="1:2" x14ac:dyDescent="0.2">
      <c r="A22" s="9">
        <v>42614</v>
      </c>
      <c r="B22" s="3">
        <v>60.1</v>
      </c>
    </row>
    <row r="23" spans="1:2" x14ac:dyDescent="0.2">
      <c r="A23" s="9">
        <v>42644</v>
      </c>
      <c r="B23" s="3">
        <v>60.69</v>
      </c>
    </row>
    <row r="24" spans="1:2" x14ac:dyDescent="0.2">
      <c r="A24" s="9">
        <v>42675</v>
      </c>
      <c r="B24" s="3">
        <v>61.02</v>
      </c>
    </row>
    <row r="25" spans="1:2" x14ac:dyDescent="0.2">
      <c r="A25" s="9">
        <v>42705</v>
      </c>
      <c r="B25" s="3">
        <v>61.94</v>
      </c>
    </row>
    <row r="26" spans="1:2" x14ac:dyDescent="0.2">
      <c r="A26" s="9">
        <v>42736</v>
      </c>
      <c r="B26" s="3">
        <v>63</v>
      </c>
    </row>
    <row r="27" spans="1:2" x14ac:dyDescent="0.2">
      <c r="A27" s="9">
        <v>42767</v>
      </c>
      <c r="B27" s="3">
        <v>63.51</v>
      </c>
    </row>
    <row r="28" spans="1:2" x14ac:dyDescent="0.2">
      <c r="A28" s="9">
        <v>42795</v>
      </c>
      <c r="B28" s="3">
        <v>63.84</v>
      </c>
    </row>
    <row r="29" spans="1:2" x14ac:dyDescent="0.2">
      <c r="A29" s="9">
        <v>42826</v>
      </c>
      <c r="B29" s="3">
        <v>64.33</v>
      </c>
    </row>
    <row r="30" spans="1:2" x14ac:dyDescent="0.2">
      <c r="A30" s="9">
        <v>42856</v>
      </c>
      <c r="B30" s="3">
        <v>64.27</v>
      </c>
    </row>
    <row r="31" spans="1:2" x14ac:dyDescent="0.2">
      <c r="A31" s="9">
        <v>42887</v>
      </c>
      <c r="B31" s="3">
        <v>64.16</v>
      </c>
    </row>
    <row r="32" spans="1:2" x14ac:dyDescent="0.2">
      <c r="A32" s="9">
        <v>42917</v>
      </c>
      <c r="B32" s="3">
        <v>64.97</v>
      </c>
    </row>
    <row r="33" spans="1:2" x14ac:dyDescent="0.2">
      <c r="A33" s="9">
        <v>42948</v>
      </c>
      <c r="B33" s="3">
        <v>65.41</v>
      </c>
    </row>
    <row r="34" spans="1:2" x14ac:dyDescent="0.2">
      <c r="A34" s="9">
        <v>42979</v>
      </c>
      <c r="B34" s="3">
        <v>65.97</v>
      </c>
    </row>
    <row r="35" spans="1:2" x14ac:dyDescent="0.2">
      <c r="A35" s="9">
        <v>43009</v>
      </c>
      <c r="B35" s="3">
        <v>67.16</v>
      </c>
    </row>
    <row r="36" spans="1:2" x14ac:dyDescent="0.2">
      <c r="A36" s="9">
        <v>43040</v>
      </c>
      <c r="B36" s="3">
        <v>68.650000000000006</v>
      </c>
    </row>
    <row r="37" spans="1:2" x14ac:dyDescent="0.2">
      <c r="A37" s="9">
        <v>43070</v>
      </c>
      <c r="B37" s="3">
        <v>69.42</v>
      </c>
    </row>
    <row r="38" spans="1:2" x14ac:dyDescent="0.2">
      <c r="A38" s="9">
        <v>43101</v>
      </c>
      <c r="B38" s="3">
        <v>71.78</v>
      </c>
    </row>
    <row r="39" spans="1:2" x14ac:dyDescent="0.2">
      <c r="A39" s="9">
        <v>43132</v>
      </c>
      <c r="B39" s="3">
        <v>72.5</v>
      </c>
    </row>
    <row r="40" spans="1:2" x14ac:dyDescent="0.2">
      <c r="A40" s="9">
        <v>43160</v>
      </c>
      <c r="B40" s="3">
        <v>73.38</v>
      </c>
    </row>
    <row r="41" spans="1:2" x14ac:dyDescent="0.2">
      <c r="A41" s="9">
        <v>43191</v>
      </c>
      <c r="B41" s="3">
        <v>74.94</v>
      </c>
    </row>
    <row r="42" spans="1:2" x14ac:dyDescent="0.2">
      <c r="A42" s="9">
        <v>43221</v>
      </c>
      <c r="B42" s="3">
        <v>75.819999999999993</v>
      </c>
    </row>
    <row r="43" spans="1:2" x14ac:dyDescent="0.2">
      <c r="A43" s="9">
        <v>43252</v>
      </c>
      <c r="B43" s="3">
        <v>76.66</v>
      </c>
    </row>
    <row r="44" spans="1:2" x14ac:dyDescent="0.2">
      <c r="A44" s="9">
        <v>43282</v>
      </c>
      <c r="B44" s="3">
        <v>77.75</v>
      </c>
    </row>
    <row r="45" spans="1:2" x14ac:dyDescent="0.2">
      <c r="A45" s="9">
        <v>43313</v>
      </c>
      <c r="B45" s="3">
        <v>80.709999999999994</v>
      </c>
    </row>
    <row r="46" spans="1:2" x14ac:dyDescent="0.2">
      <c r="A46" s="9">
        <v>43344</v>
      </c>
      <c r="B46" s="3">
        <v>83.49</v>
      </c>
    </row>
    <row r="47" spans="1:2" x14ac:dyDescent="0.2">
      <c r="A47" s="9">
        <v>43374</v>
      </c>
      <c r="B47" s="3">
        <v>85.76</v>
      </c>
    </row>
    <row r="48" spans="1:2" x14ac:dyDescent="0.2">
      <c r="A48" s="9">
        <v>43405</v>
      </c>
      <c r="B48" s="3">
        <v>85.83</v>
      </c>
    </row>
    <row r="49" spans="1:2" x14ac:dyDescent="0.2">
      <c r="A49" s="9">
        <v>43435</v>
      </c>
      <c r="B49" s="3">
        <v>85.29</v>
      </c>
    </row>
    <row r="50" spans="1:2" x14ac:dyDescent="0.2">
      <c r="A50" s="9">
        <v>43466</v>
      </c>
      <c r="B50" s="3">
        <v>87.16</v>
      </c>
    </row>
    <row r="51" spans="1:2" x14ac:dyDescent="0.2">
      <c r="A51" s="9">
        <v>43497</v>
      </c>
      <c r="B51" s="3">
        <v>87.59</v>
      </c>
    </row>
    <row r="52" spans="1:2" x14ac:dyDescent="0.2">
      <c r="A52" s="9">
        <v>43525</v>
      </c>
      <c r="B52" s="3">
        <v>88.76</v>
      </c>
    </row>
    <row r="53" spans="1:2" x14ac:dyDescent="0.2">
      <c r="A53" s="9">
        <v>43556</v>
      </c>
      <c r="B53" s="3">
        <v>89.51</v>
      </c>
    </row>
    <row r="54" spans="1:2" x14ac:dyDescent="0.2">
      <c r="A54" s="9">
        <v>43586</v>
      </c>
      <c r="B54" s="3">
        <v>90.88</v>
      </c>
    </row>
    <row r="55" spans="1:2" x14ac:dyDescent="0.2">
      <c r="A55" s="9">
        <v>43617</v>
      </c>
      <c r="B55" s="3">
        <v>90.91</v>
      </c>
    </row>
    <row r="56" spans="1:2" x14ac:dyDescent="0.2">
      <c r="A56" s="9">
        <v>43647</v>
      </c>
      <c r="B56" s="3">
        <v>91.49</v>
      </c>
    </row>
    <row r="57" spans="1:2" x14ac:dyDescent="0.2">
      <c r="A57" s="9">
        <v>43678</v>
      </c>
      <c r="B57" s="3">
        <v>91.62</v>
      </c>
    </row>
    <row r="58" spans="1:2" x14ac:dyDescent="0.2">
      <c r="A58" s="9">
        <v>43709</v>
      </c>
      <c r="B58" s="3">
        <v>91.61</v>
      </c>
    </row>
    <row r="59" spans="1:2" x14ac:dyDescent="0.2">
      <c r="A59" s="9">
        <v>43739</v>
      </c>
      <c r="B59" s="3">
        <v>92.44</v>
      </c>
    </row>
    <row r="60" spans="1:2" x14ac:dyDescent="0.2">
      <c r="A60" s="9">
        <v>43770</v>
      </c>
      <c r="B60" s="3">
        <v>93.18</v>
      </c>
    </row>
    <row r="61" spans="1:2" x14ac:dyDescent="0.2">
      <c r="A61" s="9">
        <v>43800</v>
      </c>
      <c r="B61" s="3">
        <v>93.95</v>
      </c>
    </row>
    <row r="62" spans="1:2" x14ac:dyDescent="0.2">
      <c r="A62" s="9">
        <v>43831</v>
      </c>
      <c r="B62" s="3">
        <v>94.95</v>
      </c>
    </row>
    <row r="63" spans="1:2" x14ac:dyDescent="0.2">
      <c r="A63" s="9">
        <v>43862</v>
      </c>
      <c r="B63" s="3">
        <v>95.35</v>
      </c>
    </row>
    <row r="64" spans="1:2" x14ac:dyDescent="0.2">
      <c r="A64" s="9">
        <v>43891</v>
      </c>
      <c r="B64" s="3">
        <v>95.71</v>
      </c>
    </row>
    <row r="65" spans="1:2" x14ac:dyDescent="0.2">
      <c r="A65" s="9">
        <v>43922</v>
      </c>
      <c r="B65" s="3">
        <v>96.82</v>
      </c>
    </row>
    <row r="66" spans="1:2" x14ac:dyDescent="0.2">
      <c r="A66" s="9">
        <v>43952</v>
      </c>
      <c r="B66" s="3">
        <v>97.1</v>
      </c>
    </row>
    <row r="67" spans="1:2" x14ac:dyDescent="0.2">
      <c r="A67" s="9">
        <v>43983</v>
      </c>
      <c r="B67" s="3">
        <v>97.01</v>
      </c>
    </row>
    <row r="68" spans="1:2" x14ac:dyDescent="0.2">
      <c r="A68" s="9">
        <v>44013</v>
      </c>
      <c r="B68" s="3">
        <v>97.73</v>
      </c>
    </row>
    <row r="69" spans="1:2" x14ac:dyDescent="0.2">
      <c r="A69" s="9">
        <v>44044</v>
      </c>
      <c r="B69" s="3">
        <v>99.48</v>
      </c>
    </row>
    <row r="70" spans="1:2" x14ac:dyDescent="0.2">
      <c r="A70" s="9">
        <v>44075</v>
      </c>
      <c r="B70" s="3">
        <v>101.51</v>
      </c>
    </row>
    <row r="71" spans="1:2" x14ac:dyDescent="0.2">
      <c r="A71" s="9">
        <v>44105</v>
      </c>
      <c r="B71" s="3">
        <v>104.9</v>
      </c>
    </row>
    <row r="72" spans="1:2" x14ac:dyDescent="0.2">
      <c r="A72" s="9">
        <v>44136</v>
      </c>
      <c r="B72" s="3">
        <v>108.43</v>
      </c>
    </row>
    <row r="73" spans="1:2" x14ac:dyDescent="0.2">
      <c r="A73" s="9">
        <v>44166</v>
      </c>
      <c r="B73" s="3">
        <v>111.02</v>
      </c>
    </row>
    <row r="74" spans="1:2" x14ac:dyDescent="0.2">
      <c r="A74" s="9">
        <v>44197</v>
      </c>
      <c r="B74" s="3">
        <v>113.97</v>
      </c>
    </row>
    <row r="75" spans="1:2" x14ac:dyDescent="0.2">
      <c r="A75" s="9">
        <v>44228</v>
      </c>
      <c r="B75" s="3">
        <v>115.91</v>
      </c>
    </row>
    <row r="76" spans="1:2" x14ac:dyDescent="0.2">
      <c r="A76" s="9">
        <v>44256</v>
      </c>
      <c r="B76" s="3">
        <v>117.63</v>
      </c>
    </row>
    <row r="77" spans="1:2" x14ac:dyDescent="0.2">
      <c r="A77" s="9">
        <v>44287</v>
      </c>
      <c r="B77" s="3">
        <v>120.26</v>
      </c>
    </row>
    <row r="78" spans="1:2" x14ac:dyDescent="0.2">
      <c r="A78" s="9">
        <v>44317</v>
      </c>
      <c r="B78" s="3">
        <v>123.64</v>
      </c>
    </row>
    <row r="79" spans="1:2" x14ac:dyDescent="0.2">
      <c r="A79" s="9">
        <v>44348</v>
      </c>
      <c r="B79" s="3">
        <v>128.66999999999999</v>
      </c>
    </row>
    <row r="80" spans="1:2" x14ac:dyDescent="0.2">
      <c r="A80" s="9">
        <v>44378</v>
      </c>
      <c r="B80" s="3">
        <v>132.57</v>
      </c>
    </row>
    <row r="81" spans="1:2" x14ac:dyDescent="0.2">
      <c r="A81" s="9">
        <v>44409</v>
      </c>
      <c r="B81" s="3">
        <v>134.18</v>
      </c>
    </row>
    <row r="82" spans="1:2" x14ac:dyDescent="0.2">
      <c r="A82" s="9">
        <v>44440</v>
      </c>
      <c r="B82" s="3">
        <v>136.94999999999999</v>
      </c>
    </row>
    <row r="83" spans="1:2" x14ac:dyDescent="0.2">
      <c r="A83" s="9">
        <v>44470</v>
      </c>
      <c r="B83" s="3">
        <v>144.86000000000001</v>
      </c>
    </row>
    <row r="84" spans="1:2" x14ac:dyDescent="0.2">
      <c r="A84" s="9">
        <v>44501</v>
      </c>
      <c r="B84" s="3">
        <v>159.56</v>
      </c>
    </row>
    <row r="85" spans="1:2" x14ac:dyDescent="0.2">
      <c r="A85" s="9">
        <v>44531</v>
      </c>
      <c r="B85" s="3">
        <v>182.51</v>
      </c>
    </row>
    <row r="86" spans="1:2" x14ac:dyDescent="0.2">
      <c r="A86" s="9">
        <v>44562</v>
      </c>
      <c r="B86" s="3">
        <v>206.69</v>
      </c>
    </row>
    <row r="87" spans="1:2" x14ac:dyDescent="0.2">
      <c r="A87" s="9">
        <v>44593</v>
      </c>
      <c r="B87" s="3">
        <v>225.41</v>
      </c>
    </row>
    <row r="88" spans="1:2" x14ac:dyDescent="0.2">
      <c r="A88" s="9">
        <v>44621</v>
      </c>
      <c r="B88" s="3">
        <v>254.12</v>
      </c>
    </row>
    <row r="89" spans="1:2" x14ac:dyDescent="0.2">
      <c r="A89" s="9">
        <v>44652</v>
      </c>
      <c r="B89" s="3">
        <v>272.79000000000002</v>
      </c>
    </row>
    <row r="90" spans="1:2" x14ac:dyDescent="0.2">
      <c r="A90" s="9">
        <v>44682</v>
      </c>
      <c r="B90" s="3">
        <v>286.87</v>
      </c>
    </row>
    <row r="91" spans="1:2" x14ac:dyDescent="0.2">
      <c r="A91" s="9">
        <v>44713</v>
      </c>
      <c r="B91" s="3">
        <v>309.77999999999997</v>
      </c>
    </row>
    <row r="92" spans="1:2" x14ac:dyDescent="0.2">
      <c r="A92" s="9">
        <v>44743</v>
      </c>
      <c r="B92" s="3">
        <v>315.73</v>
      </c>
    </row>
    <row r="93" spans="1:2" x14ac:dyDescent="0.2">
      <c r="A93" s="9">
        <v>44774</v>
      </c>
      <c r="B93" s="3">
        <v>323.02</v>
      </c>
    </row>
    <row r="94" spans="1:2" x14ac:dyDescent="0.2">
      <c r="A94" s="9">
        <v>44805</v>
      </c>
      <c r="B94" s="3">
        <v>335.3</v>
      </c>
    </row>
    <row r="95" spans="1:2" x14ac:dyDescent="0.2">
      <c r="A95" s="9">
        <v>44835</v>
      </c>
      <c r="B95" s="3">
        <v>344.56</v>
      </c>
    </row>
    <row r="96" spans="1:2" x14ac:dyDescent="0.2">
      <c r="A96" s="9">
        <v>44866</v>
      </c>
      <c r="B96" s="3">
        <v>349.59</v>
      </c>
    </row>
    <row r="97" spans="1:2" x14ac:dyDescent="0.2">
      <c r="A97" s="9">
        <v>44896</v>
      </c>
      <c r="B97" s="3">
        <v>348.83</v>
      </c>
    </row>
    <row r="98" spans="1:2" x14ac:dyDescent="0.2">
      <c r="A98" s="9">
        <v>44927</v>
      </c>
      <c r="B98" s="3">
        <v>358.79</v>
      </c>
    </row>
    <row r="99" spans="1:2" x14ac:dyDescent="0.2">
      <c r="A99" s="9">
        <v>44958</v>
      </c>
      <c r="B99" s="3">
        <v>359.74</v>
      </c>
    </row>
    <row r="100" spans="1:2" x14ac:dyDescent="0.2">
      <c r="A100" s="9">
        <v>44986</v>
      </c>
      <c r="B100" s="3">
        <v>363.92</v>
      </c>
    </row>
    <row r="101" spans="1:2" x14ac:dyDescent="0.2">
      <c r="A101" s="9">
        <v>45017</v>
      </c>
      <c r="B101" s="3">
        <v>364.67</v>
      </c>
    </row>
    <row r="102" spans="1:2" x14ac:dyDescent="0.2">
      <c r="A102" s="9">
        <v>45047</v>
      </c>
      <c r="B102" s="3">
        <v>365.64</v>
      </c>
    </row>
    <row r="103" spans="1:2" x14ac:dyDescent="0.2">
      <c r="A103" s="9">
        <v>45078</v>
      </c>
      <c r="B103" s="3">
        <v>382.85</v>
      </c>
    </row>
    <row r="104" spans="1:2" x14ac:dyDescent="0.2">
      <c r="A104" s="9">
        <v>45108</v>
      </c>
      <c r="B104" s="3">
        <v>412.62</v>
      </c>
    </row>
    <row r="105" spans="1:2" x14ac:dyDescent="0.2">
      <c r="A105" s="9">
        <v>45139</v>
      </c>
      <c r="B105" s="3">
        <v>444.57</v>
      </c>
    </row>
    <row r="106" spans="1:2" x14ac:dyDescent="0.2">
      <c r="A106" s="9">
        <v>45170</v>
      </c>
      <c r="B106" s="3">
        <v>457.3</v>
      </c>
    </row>
    <row r="107" spans="1:2" x14ac:dyDescent="0.2">
      <c r="A107" s="9">
        <v>45200</v>
      </c>
      <c r="B107" s="3">
        <v>467.2</v>
      </c>
    </row>
    <row r="108" spans="1:2" x14ac:dyDescent="0.2">
      <c r="A108" s="9">
        <v>45231</v>
      </c>
      <c r="B108" s="3">
        <v>472.6</v>
      </c>
    </row>
    <row r="109" spans="1:2" x14ac:dyDescent="0.2">
      <c r="A109" s="9">
        <v>45261</v>
      </c>
      <c r="B109" s="3">
        <v>484.26</v>
      </c>
    </row>
    <row r="110" spans="1:2" x14ac:dyDescent="0.2">
      <c r="A110" s="9">
        <v>45292</v>
      </c>
      <c r="B110" s="3">
        <v>520.65</v>
      </c>
    </row>
    <row r="111" spans="1:2" x14ac:dyDescent="0.2">
      <c r="A111" s="9">
        <v>45323</v>
      </c>
      <c r="B111" s="3">
        <v>539.34</v>
      </c>
    </row>
    <row r="112" spans="1:2" x14ac:dyDescent="0.2">
      <c r="A112" s="9">
        <v>45352</v>
      </c>
      <c r="B112" s="3">
        <v>545.62</v>
      </c>
    </row>
    <row r="113" spans="1:2" x14ac:dyDescent="0.2">
      <c r="A113" s="9">
        <v>45383</v>
      </c>
      <c r="B113" s="3">
        <v>555.01</v>
      </c>
    </row>
    <row r="114" spans="1:2" x14ac:dyDescent="0.2">
      <c r="A114" s="9">
        <v>45413</v>
      </c>
      <c r="B114" s="3">
        <v>559.73</v>
      </c>
    </row>
    <row r="115" spans="1:2" x14ac:dyDescent="0.2">
      <c r="A115" s="9">
        <v>45444</v>
      </c>
      <c r="B115" s="3">
        <v>564.92999999999995</v>
      </c>
    </row>
    <row r="116" spans="1:2" x14ac:dyDescent="0.2">
      <c r="A116" s="9">
        <v>45474</v>
      </c>
      <c r="B116" s="3">
        <v>584.25</v>
      </c>
    </row>
    <row r="117" spans="1:2" x14ac:dyDescent="0.2">
      <c r="A117" s="9">
        <v>45505</v>
      </c>
      <c r="B117" s="3">
        <v>592.39</v>
      </c>
    </row>
    <row r="118" spans="1:2" x14ac:dyDescent="0.2">
      <c r="A118" s="9">
        <v>45536</v>
      </c>
      <c r="B118" s="3">
        <v>602.88</v>
      </c>
    </row>
    <row r="119" spans="1:2" x14ac:dyDescent="0.2">
      <c r="A119" s="9">
        <v>45566</v>
      </c>
      <c r="B119" s="3">
        <v>619.47</v>
      </c>
    </row>
    <row r="120" spans="1:2" x14ac:dyDescent="0.2">
      <c r="A120" s="9">
        <v>45597</v>
      </c>
      <c r="B120" s="3">
        <v>628.19000000000005</v>
      </c>
    </row>
    <row r="121" spans="1:2" x14ac:dyDescent="0.2">
      <c r="A121" s="9">
        <v>45627</v>
      </c>
      <c r="B121" s="3">
        <v>641.58000000000004</v>
      </c>
    </row>
    <row r="122" spans="1:2" x14ac:dyDescent="0.2">
      <c r="A122" s="9">
        <v>45658</v>
      </c>
      <c r="B122" s="3">
        <v>679.38</v>
      </c>
    </row>
    <row r="123" spans="1:2" x14ac:dyDescent="0.2">
      <c r="A123" s="9">
        <v>45689</v>
      </c>
      <c r="B123" s="3">
        <v>695.32</v>
      </c>
    </row>
    <row r="124" spans="1:2" x14ac:dyDescent="0.2">
      <c r="A124" s="9">
        <v>45717</v>
      </c>
      <c r="B124" s="3">
        <v>707.81</v>
      </c>
    </row>
    <row r="125" spans="1:2" x14ac:dyDescent="0.2">
      <c r="A125" s="9">
        <v>45748</v>
      </c>
      <c r="B125" s="3">
        <v>722.19</v>
      </c>
    </row>
    <row r="126" spans="1:2" x14ac:dyDescent="0.2">
      <c r="A126" s="9">
        <v>45778</v>
      </c>
      <c r="B126" s="3">
        <v>737.73</v>
      </c>
    </row>
    <row r="127" spans="1:2" x14ac:dyDescent="0.2">
      <c r="A127" s="9">
        <v>45809</v>
      </c>
      <c r="B127" s="3">
        <v>756.31</v>
      </c>
    </row>
    <row r="128" spans="1:2" x14ac:dyDescent="0.2">
      <c r="A128" s="9">
        <v>45839</v>
      </c>
      <c r="B128" s="3">
        <v>784.16</v>
      </c>
    </row>
    <row r="129" spans="1:2" x14ac:dyDescent="0.2">
      <c r="A129" s="9">
        <v>45870</v>
      </c>
      <c r="B129" s="3">
        <v>794.33</v>
      </c>
    </row>
    <row r="130" spans="1:2" x14ac:dyDescent="0.2">
      <c r="A130" s="9">
        <v>45901</v>
      </c>
      <c r="B130" s="3">
        <v>811.45</v>
      </c>
    </row>
    <row r="131" spans="1:2" x14ac:dyDescent="0.2">
      <c r="A131" s="9">
        <v>45931</v>
      </c>
      <c r="B131" s="3">
        <v>828.01</v>
      </c>
    </row>
    <row r="132" spans="1:2" x14ac:dyDescent="0.2">
      <c r="A132" s="9">
        <v>45962</v>
      </c>
      <c r="B132" s="3">
        <v>843.26</v>
      </c>
    </row>
    <row r="133" spans="1:2" x14ac:dyDescent="0.2">
      <c r="A133" s="9">
        <v>45992</v>
      </c>
      <c r="B133" s="3">
        <v>854.25</v>
      </c>
    </row>
    <row r="134" spans="1:2" x14ac:dyDescent="0.2">
      <c r="A134" s="9">
        <v>46023</v>
      </c>
      <c r="B134" s="3">
        <v>887.19</v>
      </c>
    </row>
    <row r="135" spans="1:2" x14ac:dyDescent="0.2">
      <c r="A135" s="9">
        <v>46054</v>
      </c>
      <c r="B135" s="3">
        <v>914.7</v>
      </c>
    </row>
    <row r="136" spans="1:2" x14ac:dyDescent="0.2">
      <c r="A136" s="9">
        <v>46082</v>
      </c>
      <c r="B136" s="3">
        <v>950.32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2"/>
  <sheetViews>
    <sheetView zoomScaleNormal="150" workbookViewId="0">
      <selection activeCell="C29" sqref="C29"/>
    </sheetView>
  </sheetViews>
  <sheetFormatPr baseColWidth="10" defaultColWidth="8.83203125" defaultRowHeight="15" x14ac:dyDescent="0.2"/>
  <cols>
    <col min="1" max="1" width="9.1640625" bestFit="1" customWidth="1"/>
    <col min="2" max="2" width="22" style="2" bestFit="1" customWidth="1"/>
    <col min="3" max="3" width="16.6640625" style="2" bestFit="1" customWidth="1"/>
    <col min="4" max="4" width="12.83203125" style="2" bestFit="1" customWidth="1"/>
    <col min="5" max="5" width="16.6640625" style="2" bestFit="1" customWidth="1"/>
    <col min="6" max="6" width="12.83203125" style="2" bestFit="1" customWidth="1"/>
    <col min="7" max="9" width="20.6640625" bestFit="1" customWidth="1"/>
    <col min="10" max="10" width="21.6640625" bestFit="1" customWidth="1"/>
  </cols>
  <sheetData>
    <row r="1" spans="1:10" x14ac:dyDescent="0.2">
      <c r="A1" s="8" t="s">
        <v>0</v>
      </c>
      <c r="B1" s="2" t="s">
        <v>1</v>
      </c>
      <c r="C1" s="2" t="s">
        <v>3</v>
      </c>
      <c r="D1" s="2" t="s">
        <v>2</v>
      </c>
      <c r="E1" s="2" t="s">
        <v>5</v>
      </c>
      <c r="F1" s="2" t="s">
        <v>4</v>
      </c>
      <c r="G1" s="2" t="s">
        <v>7</v>
      </c>
      <c r="H1" s="2" t="s">
        <v>8</v>
      </c>
      <c r="I1" s="2" t="s">
        <v>9</v>
      </c>
      <c r="J1" s="2" t="s">
        <v>10</v>
      </c>
    </row>
    <row r="2" spans="1:10" x14ac:dyDescent="0.2">
      <c r="A2" s="9">
        <v>42005</v>
      </c>
      <c r="B2" s="3">
        <v>56.86</v>
      </c>
      <c r="G2" s="2"/>
      <c r="H2" s="2"/>
      <c r="I2" s="2"/>
      <c r="J2" s="2"/>
    </row>
    <row r="3" spans="1:10" x14ac:dyDescent="0.2">
      <c r="A3" s="9">
        <v>42036</v>
      </c>
      <c r="B3" s="3">
        <v>57.24</v>
      </c>
      <c r="C3" s="3">
        <f>B3-B2</f>
        <v>0.38000000000000256</v>
      </c>
      <c r="D3" s="7">
        <f>B3/B2-1</f>
        <v>6.6830812521985195E-3</v>
      </c>
      <c r="G3" s="2"/>
      <c r="H3" s="2"/>
      <c r="I3" s="2"/>
      <c r="J3" s="2"/>
    </row>
    <row r="4" spans="1:10" x14ac:dyDescent="0.2">
      <c r="A4" s="9">
        <v>42064</v>
      </c>
      <c r="B4" s="3">
        <v>57.42</v>
      </c>
      <c r="C4" s="3">
        <f t="shared" ref="C4:C67" si="0">B4-B3</f>
        <v>0.17999999999999972</v>
      </c>
      <c r="D4" s="7">
        <f t="shared" ref="D4:D67" si="1">B4/B3-1</f>
        <v>3.1446540880502027E-3</v>
      </c>
      <c r="G4" s="3">
        <f>AVERAGE(B2:B4)</f>
        <v>57.173333333333325</v>
      </c>
      <c r="H4" s="2"/>
      <c r="I4" s="2"/>
      <c r="J4" s="2"/>
    </row>
    <row r="5" spans="1:10" x14ac:dyDescent="0.2">
      <c r="A5" s="9">
        <v>42095</v>
      </c>
      <c r="B5" s="3">
        <v>57.54</v>
      </c>
      <c r="C5" s="3">
        <f t="shared" si="0"/>
        <v>0.11999999999999744</v>
      </c>
      <c r="D5" s="7">
        <f t="shared" si="1"/>
        <v>2.089864158829613E-3</v>
      </c>
      <c r="G5" s="3">
        <f t="shared" ref="G5:G68" si="2">AVERAGE(B3:B5)</f>
        <v>57.4</v>
      </c>
      <c r="H5" s="2"/>
      <c r="I5" s="2"/>
      <c r="J5" s="2"/>
    </row>
    <row r="6" spans="1:10" x14ac:dyDescent="0.2">
      <c r="A6" s="9">
        <v>42125</v>
      </c>
      <c r="B6" s="3">
        <v>57.93</v>
      </c>
      <c r="C6" s="3">
        <f t="shared" si="0"/>
        <v>0.39000000000000057</v>
      </c>
      <c r="D6" s="7">
        <f t="shared" si="1"/>
        <v>6.7778936392075551E-3</v>
      </c>
      <c r="G6" s="3">
        <f t="shared" si="2"/>
        <v>57.63</v>
      </c>
      <c r="H6" s="2"/>
      <c r="I6" s="2"/>
      <c r="J6" s="2"/>
    </row>
    <row r="7" spans="1:10" x14ac:dyDescent="0.2">
      <c r="A7" s="9">
        <v>42156</v>
      </c>
      <c r="B7" s="3">
        <v>57.98</v>
      </c>
      <c r="C7" s="3">
        <f t="shared" si="0"/>
        <v>4.9999999999997158E-2</v>
      </c>
      <c r="D7" s="7">
        <f t="shared" si="1"/>
        <v>8.6311065078548133E-4</v>
      </c>
      <c r="G7" s="3">
        <f t="shared" si="2"/>
        <v>57.816666666666663</v>
      </c>
      <c r="H7" s="3">
        <f>AVERAGE(B2:B7)</f>
        <v>57.494999999999997</v>
      </c>
      <c r="I7" s="2"/>
      <c r="J7" s="2"/>
    </row>
    <row r="8" spans="1:10" x14ac:dyDescent="0.2">
      <c r="A8" s="9">
        <v>42186</v>
      </c>
      <c r="B8" s="3">
        <v>57.69</v>
      </c>
      <c r="C8" s="3">
        <f t="shared" si="0"/>
        <v>-0.28999999999999915</v>
      </c>
      <c r="D8" s="7">
        <f t="shared" si="1"/>
        <v>-5.0017247326664682E-3</v>
      </c>
      <c r="G8" s="3">
        <f t="shared" si="2"/>
        <v>57.866666666666667</v>
      </c>
      <c r="H8" s="3">
        <f t="shared" ref="H8:H71" si="3">AVERAGE(B3:B8)</f>
        <v>57.633333333333333</v>
      </c>
      <c r="I8" s="2"/>
      <c r="J8" s="2"/>
    </row>
    <row r="9" spans="1:10" x14ac:dyDescent="0.2">
      <c r="A9" s="9">
        <v>42217</v>
      </c>
      <c r="B9" s="3">
        <v>57.92</v>
      </c>
      <c r="C9" s="3">
        <f t="shared" si="0"/>
        <v>0.23000000000000398</v>
      </c>
      <c r="D9" s="7">
        <f t="shared" si="1"/>
        <v>3.9868261397122406E-3</v>
      </c>
      <c r="G9" s="3">
        <f t="shared" si="2"/>
        <v>57.863333333333323</v>
      </c>
      <c r="H9" s="3">
        <f t="shared" si="3"/>
        <v>57.74666666666667</v>
      </c>
      <c r="I9" s="2"/>
      <c r="J9" s="2"/>
    </row>
    <row r="10" spans="1:10" x14ac:dyDescent="0.2">
      <c r="A10" s="9">
        <v>42248</v>
      </c>
      <c r="B10" s="3">
        <v>58.31</v>
      </c>
      <c r="C10" s="3">
        <f t="shared" si="0"/>
        <v>0.39000000000000057</v>
      </c>
      <c r="D10" s="7">
        <f t="shared" si="1"/>
        <v>6.7334254143647243E-3</v>
      </c>
      <c r="G10" s="3">
        <f t="shared" si="2"/>
        <v>57.973333333333336</v>
      </c>
      <c r="H10" s="3">
        <f t="shared" si="3"/>
        <v>57.895000000000003</v>
      </c>
      <c r="I10" s="3">
        <f>AVERAGE(B2:B10)</f>
        <v>57.654444444444444</v>
      </c>
      <c r="J10" s="2"/>
    </row>
    <row r="11" spans="1:10" x14ac:dyDescent="0.2">
      <c r="A11" s="9">
        <v>42278</v>
      </c>
      <c r="B11" s="3">
        <v>58.22</v>
      </c>
      <c r="C11" s="3">
        <f t="shared" si="0"/>
        <v>-9.0000000000003411E-2</v>
      </c>
      <c r="D11" s="7">
        <f t="shared" si="1"/>
        <v>-1.5434745326702304E-3</v>
      </c>
      <c r="G11" s="3">
        <f t="shared" si="2"/>
        <v>58.15</v>
      </c>
      <c r="H11" s="3">
        <f t="shared" si="3"/>
        <v>58.008333333333326</v>
      </c>
      <c r="I11" s="3">
        <f t="shared" ref="I11:I74" si="4">AVERAGE(B3:B11)</f>
        <v>57.805555555555557</v>
      </c>
      <c r="J11" s="2"/>
    </row>
    <row r="12" spans="1:10" x14ac:dyDescent="0.2">
      <c r="A12" s="9">
        <v>42309</v>
      </c>
      <c r="B12" s="3">
        <v>58.32</v>
      </c>
      <c r="C12" s="3">
        <f t="shared" si="0"/>
        <v>0.10000000000000142</v>
      </c>
      <c r="D12" s="7">
        <f t="shared" si="1"/>
        <v>1.7176228100308499E-3</v>
      </c>
      <c r="G12" s="3">
        <f t="shared" si="2"/>
        <v>58.283333333333331</v>
      </c>
      <c r="H12" s="3">
        <f t="shared" si="3"/>
        <v>58.073333333333331</v>
      </c>
      <c r="I12" s="3">
        <f t="shared" si="4"/>
        <v>57.925555555555562</v>
      </c>
      <c r="J12" s="2"/>
    </row>
    <row r="13" spans="1:10" x14ac:dyDescent="0.2">
      <c r="A13" s="9">
        <v>42339</v>
      </c>
      <c r="B13" s="3">
        <v>58.2</v>
      </c>
      <c r="C13" s="3">
        <f t="shared" si="0"/>
        <v>-0.11999999999999744</v>
      </c>
      <c r="D13" s="7">
        <f t="shared" si="1"/>
        <v>-2.057613168724215E-3</v>
      </c>
      <c r="G13" s="3">
        <f t="shared" si="2"/>
        <v>58.24666666666667</v>
      </c>
      <c r="H13" s="3">
        <f t="shared" si="3"/>
        <v>58.110000000000007</v>
      </c>
      <c r="I13" s="3">
        <f t="shared" si="4"/>
        <v>58.012222222222221</v>
      </c>
      <c r="J13" s="3">
        <f>AVERAGE(B2:B13)</f>
        <v>57.802500000000009</v>
      </c>
    </row>
    <row r="14" spans="1:10" x14ac:dyDescent="0.2">
      <c r="A14" s="9">
        <v>42370</v>
      </c>
      <c r="B14" s="3">
        <v>58.96</v>
      </c>
      <c r="C14" s="3">
        <f t="shared" si="0"/>
        <v>0.75999999999999801</v>
      </c>
      <c r="D14" s="7">
        <f t="shared" si="1"/>
        <v>1.3058419243986208E-2</v>
      </c>
      <c r="E14" s="3">
        <f>B14-B2</f>
        <v>2.1000000000000014</v>
      </c>
      <c r="F14" s="7">
        <f>B14/B2-1</f>
        <v>3.6932817446359456E-2</v>
      </c>
      <c r="G14" s="3">
        <f t="shared" si="2"/>
        <v>58.493333333333339</v>
      </c>
      <c r="H14" s="3">
        <f t="shared" si="3"/>
        <v>58.321666666666658</v>
      </c>
      <c r="I14" s="3">
        <f t="shared" si="4"/>
        <v>58.169999999999995</v>
      </c>
      <c r="J14" s="3">
        <f t="shared" ref="J14:J77" si="5">AVERAGE(B3:B14)</f>
        <v>57.977500000000013</v>
      </c>
    </row>
    <row r="15" spans="1:10" x14ac:dyDescent="0.2">
      <c r="A15" s="9">
        <v>42401</v>
      </c>
      <c r="B15" s="3">
        <v>58.79</v>
      </c>
      <c r="C15" s="3">
        <f t="shared" si="0"/>
        <v>-0.17000000000000171</v>
      </c>
      <c r="D15" s="7">
        <f t="shared" si="1"/>
        <v>-2.8833107191316154E-3</v>
      </c>
      <c r="E15" s="3">
        <f t="shared" ref="E15:E78" si="6">B15-B3</f>
        <v>1.5499999999999972</v>
      </c>
      <c r="F15" s="7">
        <f t="shared" ref="F15:F78" si="7">B15/B3-1</f>
        <v>2.7078965758210893E-2</v>
      </c>
      <c r="G15" s="3">
        <f t="shared" si="2"/>
        <v>58.65</v>
      </c>
      <c r="H15" s="3">
        <f t="shared" si="3"/>
        <v>58.466666666666669</v>
      </c>
      <c r="I15" s="3">
        <f t="shared" si="4"/>
        <v>58.265555555555551</v>
      </c>
      <c r="J15" s="3">
        <f t="shared" si="5"/>
        <v>58.106666666666676</v>
      </c>
    </row>
    <row r="16" spans="1:10" x14ac:dyDescent="0.2">
      <c r="A16" s="9">
        <v>42430</v>
      </c>
      <c r="B16" s="3">
        <v>59.01</v>
      </c>
      <c r="C16" s="3">
        <f t="shared" si="0"/>
        <v>0.21999999999999886</v>
      </c>
      <c r="D16" s="7">
        <f t="shared" si="1"/>
        <v>3.7421330158189381E-3</v>
      </c>
      <c r="E16" s="3">
        <f t="shared" si="6"/>
        <v>1.5899999999999963</v>
      </c>
      <c r="F16" s="7">
        <f t="shared" si="7"/>
        <v>2.7690700104493038E-2</v>
      </c>
      <c r="G16" s="3">
        <f t="shared" si="2"/>
        <v>58.919999999999995</v>
      </c>
      <c r="H16" s="3">
        <f t="shared" si="3"/>
        <v>58.583333333333336</v>
      </c>
      <c r="I16" s="3">
        <f t="shared" si="4"/>
        <v>58.38000000000001</v>
      </c>
      <c r="J16" s="3">
        <f t="shared" si="5"/>
        <v>58.239166666666669</v>
      </c>
    </row>
    <row r="17" spans="1:10" x14ac:dyDescent="0.2">
      <c r="A17" s="9">
        <v>42461</v>
      </c>
      <c r="B17" s="3">
        <v>59.03</v>
      </c>
      <c r="C17" s="3">
        <f t="shared" si="0"/>
        <v>2.0000000000003126E-2</v>
      </c>
      <c r="D17" s="7">
        <f t="shared" si="1"/>
        <v>3.3892560582948761E-4</v>
      </c>
      <c r="E17" s="3">
        <f t="shared" si="6"/>
        <v>1.490000000000002</v>
      </c>
      <c r="F17" s="7">
        <f t="shared" si="7"/>
        <v>2.5895029544664716E-2</v>
      </c>
      <c r="G17" s="3">
        <f t="shared" si="2"/>
        <v>58.943333333333328</v>
      </c>
      <c r="H17" s="3">
        <f t="shared" si="3"/>
        <v>58.718333333333341</v>
      </c>
      <c r="I17" s="3">
        <f t="shared" si="4"/>
        <v>58.528888888888886</v>
      </c>
      <c r="J17" s="3">
        <f t="shared" si="5"/>
        <v>58.363333333333323</v>
      </c>
    </row>
    <row r="18" spans="1:10" x14ac:dyDescent="0.2">
      <c r="A18" s="9">
        <v>42491</v>
      </c>
      <c r="B18" s="3">
        <v>59.42</v>
      </c>
      <c r="C18" s="3">
        <f t="shared" si="0"/>
        <v>0.39000000000000057</v>
      </c>
      <c r="D18" s="7">
        <f t="shared" si="1"/>
        <v>6.6068100965610554E-3</v>
      </c>
      <c r="E18" s="3">
        <f t="shared" si="6"/>
        <v>1.490000000000002</v>
      </c>
      <c r="F18" s="7">
        <f t="shared" si="7"/>
        <v>2.5720697393405878E-2</v>
      </c>
      <c r="G18" s="3">
        <f t="shared" si="2"/>
        <v>59.153333333333329</v>
      </c>
      <c r="H18" s="3">
        <f t="shared" si="3"/>
        <v>58.901666666666671</v>
      </c>
      <c r="I18" s="3">
        <f t="shared" si="4"/>
        <v>58.695555555555558</v>
      </c>
      <c r="J18" s="3">
        <f t="shared" si="5"/>
        <v>58.48749999999999</v>
      </c>
    </row>
    <row r="19" spans="1:10" x14ac:dyDescent="0.2">
      <c r="A19" s="9">
        <v>42522</v>
      </c>
      <c r="B19" s="3">
        <v>59.61</v>
      </c>
      <c r="C19" s="3">
        <f t="shared" si="0"/>
        <v>0.18999999999999773</v>
      </c>
      <c r="D19" s="7">
        <f t="shared" si="1"/>
        <v>3.1975765735441364E-3</v>
      </c>
      <c r="E19" s="3">
        <f t="shared" si="6"/>
        <v>1.6300000000000026</v>
      </c>
      <c r="F19" s="7">
        <f t="shared" si="7"/>
        <v>2.8113142462918184E-2</v>
      </c>
      <c r="G19" s="3">
        <f t="shared" si="2"/>
        <v>59.353333333333332</v>
      </c>
      <c r="H19" s="3">
        <f t="shared" si="3"/>
        <v>59.136666666666663</v>
      </c>
      <c r="I19" s="3">
        <f t="shared" si="4"/>
        <v>58.839999999999996</v>
      </c>
      <c r="J19" s="3">
        <f t="shared" si="5"/>
        <v>58.623333333333335</v>
      </c>
    </row>
    <row r="20" spans="1:10" x14ac:dyDescent="0.2">
      <c r="A20" s="9">
        <v>42552</v>
      </c>
      <c r="B20" s="3">
        <v>59.83</v>
      </c>
      <c r="C20" s="3">
        <f t="shared" si="0"/>
        <v>0.21999999999999886</v>
      </c>
      <c r="D20" s="7">
        <f t="shared" si="1"/>
        <v>3.6906559302130049E-3</v>
      </c>
      <c r="E20" s="3">
        <f t="shared" si="6"/>
        <v>2.1400000000000006</v>
      </c>
      <c r="F20" s="7">
        <f t="shared" si="7"/>
        <v>3.7094817126018365E-2</v>
      </c>
      <c r="G20" s="3">
        <f t="shared" si="2"/>
        <v>59.620000000000005</v>
      </c>
      <c r="H20" s="3">
        <f t="shared" si="3"/>
        <v>59.281666666666666</v>
      </c>
      <c r="I20" s="3">
        <f t="shared" si="4"/>
        <v>59.018888888888895</v>
      </c>
      <c r="J20" s="3">
        <f t="shared" si="5"/>
        <v>58.801666666666669</v>
      </c>
    </row>
    <row r="21" spans="1:10" x14ac:dyDescent="0.2">
      <c r="A21" s="9">
        <v>42583</v>
      </c>
      <c r="B21" s="3">
        <v>59.77</v>
      </c>
      <c r="C21" s="3">
        <f t="shared" si="0"/>
        <v>-5.9999999999995168E-2</v>
      </c>
      <c r="D21" s="7">
        <f t="shared" si="1"/>
        <v>-1.0028413839210382E-3</v>
      </c>
      <c r="E21" s="3">
        <f t="shared" si="6"/>
        <v>1.8500000000000014</v>
      </c>
      <c r="F21" s="7">
        <f t="shared" si="7"/>
        <v>3.1940607734806559E-2</v>
      </c>
      <c r="G21" s="3">
        <f t="shared" si="2"/>
        <v>59.736666666666672</v>
      </c>
      <c r="H21" s="3">
        <f t="shared" si="3"/>
        <v>59.444999999999993</v>
      </c>
      <c r="I21" s="3">
        <f t="shared" si="4"/>
        <v>59.18</v>
      </c>
      <c r="J21" s="3">
        <f t="shared" si="5"/>
        <v>58.955833333333338</v>
      </c>
    </row>
    <row r="22" spans="1:10" x14ac:dyDescent="0.2">
      <c r="A22" s="9">
        <v>42614</v>
      </c>
      <c r="B22" s="3">
        <v>60.1</v>
      </c>
      <c r="C22" s="3">
        <f t="shared" si="0"/>
        <v>0.32999999999999829</v>
      </c>
      <c r="D22" s="7">
        <f t="shared" si="1"/>
        <v>5.5211644637778168E-3</v>
      </c>
      <c r="E22" s="3">
        <f t="shared" si="6"/>
        <v>1.7899999999999991</v>
      </c>
      <c r="F22" s="7">
        <f t="shared" si="7"/>
        <v>3.0697993483107533E-2</v>
      </c>
      <c r="G22" s="3">
        <f t="shared" si="2"/>
        <v>59.9</v>
      </c>
      <c r="H22" s="3">
        <f t="shared" si="3"/>
        <v>59.626666666666665</v>
      </c>
      <c r="I22" s="3">
        <f t="shared" si="4"/>
        <v>59.391111111111108</v>
      </c>
      <c r="J22" s="3">
        <f t="shared" si="5"/>
        <v>59.104999999999997</v>
      </c>
    </row>
    <row r="23" spans="1:10" x14ac:dyDescent="0.2">
      <c r="A23" s="9">
        <v>42644</v>
      </c>
      <c r="B23" s="3">
        <v>60.69</v>
      </c>
      <c r="C23" s="3">
        <f t="shared" si="0"/>
        <v>0.58999999999999631</v>
      </c>
      <c r="D23" s="7">
        <f t="shared" si="1"/>
        <v>9.8169717138103518E-3</v>
      </c>
      <c r="E23" s="3">
        <f t="shared" si="6"/>
        <v>2.4699999999999989</v>
      </c>
      <c r="F23" s="7">
        <f t="shared" si="7"/>
        <v>4.2425283407763636E-2</v>
      </c>
      <c r="G23" s="3">
        <f t="shared" si="2"/>
        <v>60.186666666666667</v>
      </c>
      <c r="H23" s="3">
        <f t="shared" si="3"/>
        <v>59.903333333333336</v>
      </c>
      <c r="I23" s="3">
        <f t="shared" si="4"/>
        <v>59.583333333333336</v>
      </c>
      <c r="J23" s="3">
        <f t="shared" si="5"/>
        <v>59.310833333333335</v>
      </c>
    </row>
    <row r="24" spans="1:10" x14ac:dyDescent="0.2">
      <c r="A24" s="9">
        <v>42675</v>
      </c>
      <c r="B24" s="3">
        <v>61.02</v>
      </c>
      <c r="C24" s="3">
        <f t="shared" si="0"/>
        <v>0.3300000000000054</v>
      </c>
      <c r="D24" s="7">
        <f t="shared" si="1"/>
        <v>5.4374691052891944E-3</v>
      </c>
      <c r="E24" s="3">
        <f t="shared" si="6"/>
        <v>2.7000000000000028</v>
      </c>
      <c r="F24" s="7">
        <f t="shared" si="7"/>
        <v>4.629629629629628E-2</v>
      </c>
      <c r="G24" s="3">
        <f t="shared" si="2"/>
        <v>60.603333333333332</v>
      </c>
      <c r="H24" s="3">
        <f t="shared" si="3"/>
        <v>60.169999999999995</v>
      </c>
      <c r="I24" s="3">
        <f t="shared" si="4"/>
        <v>59.831111111111113</v>
      </c>
      <c r="J24" s="3">
        <f t="shared" si="5"/>
        <v>59.535833333333336</v>
      </c>
    </row>
    <row r="25" spans="1:10" x14ac:dyDescent="0.2">
      <c r="A25" s="9">
        <v>42705</v>
      </c>
      <c r="B25" s="3">
        <v>61.94</v>
      </c>
      <c r="C25" s="3">
        <f t="shared" si="0"/>
        <v>0.9199999999999946</v>
      </c>
      <c r="D25" s="7">
        <f t="shared" si="1"/>
        <v>1.507702392658139E-2</v>
      </c>
      <c r="E25" s="3">
        <f t="shared" si="6"/>
        <v>3.7399999999999949</v>
      </c>
      <c r="F25" s="7">
        <f t="shared" si="7"/>
        <v>6.4261168384879719E-2</v>
      </c>
      <c r="G25" s="3">
        <f t="shared" si="2"/>
        <v>61.216666666666669</v>
      </c>
      <c r="H25" s="3">
        <f t="shared" si="3"/>
        <v>60.55833333333333</v>
      </c>
      <c r="I25" s="3">
        <f t="shared" si="4"/>
        <v>60.156666666666666</v>
      </c>
      <c r="J25" s="3">
        <f t="shared" si="5"/>
        <v>59.847500000000004</v>
      </c>
    </row>
    <row r="26" spans="1:10" x14ac:dyDescent="0.2">
      <c r="A26" s="9">
        <v>42736</v>
      </c>
      <c r="B26" s="3">
        <v>63</v>
      </c>
      <c r="C26" s="3">
        <f t="shared" si="0"/>
        <v>1.0600000000000023</v>
      </c>
      <c r="D26" s="7">
        <f t="shared" si="1"/>
        <v>1.7113335485954284E-2</v>
      </c>
      <c r="E26" s="3">
        <f t="shared" si="6"/>
        <v>4.0399999999999991</v>
      </c>
      <c r="F26" s="7">
        <f t="shared" si="7"/>
        <v>6.8521031207598337E-2</v>
      </c>
      <c r="G26" s="3">
        <f t="shared" si="2"/>
        <v>61.986666666666672</v>
      </c>
      <c r="H26" s="3">
        <f t="shared" si="3"/>
        <v>61.086666666666666</v>
      </c>
      <c r="I26" s="3">
        <f t="shared" si="4"/>
        <v>60.597777777777779</v>
      </c>
      <c r="J26" s="3">
        <f t="shared" si="5"/>
        <v>60.18416666666667</v>
      </c>
    </row>
    <row r="27" spans="1:10" x14ac:dyDescent="0.2">
      <c r="A27" s="9">
        <v>42767</v>
      </c>
      <c r="B27" s="3">
        <v>63.51</v>
      </c>
      <c r="C27" s="3">
        <f t="shared" si="0"/>
        <v>0.50999999999999801</v>
      </c>
      <c r="D27" s="7">
        <f t="shared" si="1"/>
        <v>8.0952380952381553E-3</v>
      </c>
      <c r="E27" s="3">
        <f t="shared" si="6"/>
        <v>4.7199999999999989</v>
      </c>
      <c r="F27" s="7">
        <f t="shared" si="7"/>
        <v>8.0285762884844347E-2</v>
      </c>
      <c r="G27" s="3">
        <f t="shared" si="2"/>
        <v>62.816666666666663</v>
      </c>
      <c r="H27" s="3">
        <f t="shared" si="3"/>
        <v>61.71</v>
      </c>
      <c r="I27" s="3">
        <f t="shared" si="4"/>
        <v>61.052222222222227</v>
      </c>
      <c r="J27" s="3">
        <f t="shared" si="5"/>
        <v>60.577500000000008</v>
      </c>
    </row>
    <row r="28" spans="1:10" x14ac:dyDescent="0.2">
      <c r="A28" s="9">
        <v>42795</v>
      </c>
      <c r="B28" s="3">
        <v>63.84</v>
      </c>
      <c r="C28" s="3">
        <f t="shared" si="0"/>
        <v>0.3300000000000054</v>
      </c>
      <c r="D28" s="7">
        <f t="shared" si="1"/>
        <v>5.1960321209258975E-3</v>
      </c>
      <c r="E28" s="3">
        <f t="shared" si="6"/>
        <v>4.8300000000000054</v>
      </c>
      <c r="F28" s="7">
        <f t="shared" si="7"/>
        <v>8.1850533807829251E-2</v>
      </c>
      <c r="G28" s="3">
        <f t="shared" si="2"/>
        <v>63.449999999999996</v>
      </c>
      <c r="H28" s="3">
        <f t="shared" si="3"/>
        <v>62.333333333333336</v>
      </c>
      <c r="I28" s="3">
        <f t="shared" si="4"/>
        <v>61.522222222222211</v>
      </c>
      <c r="J28" s="3">
        <f t="shared" si="5"/>
        <v>60.98</v>
      </c>
    </row>
    <row r="29" spans="1:10" x14ac:dyDescent="0.2">
      <c r="A29" s="9">
        <v>42826</v>
      </c>
      <c r="B29" s="3">
        <v>64.33</v>
      </c>
      <c r="C29" s="3">
        <f t="shared" si="0"/>
        <v>0.48999999999999488</v>
      </c>
      <c r="D29" s="7">
        <f t="shared" si="1"/>
        <v>7.6754385964912242E-3</v>
      </c>
      <c r="E29" s="3">
        <f t="shared" si="6"/>
        <v>5.2999999999999972</v>
      </c>
      <c r="F29" s="7">
        <f t="shared" si="7"/>
        <v>8.9784855158393961E-2</v>
      </c>
      <c r="G29" s="3">
        <f t="shared" si="2"/>
        <v>63.893333333333338</v>
      </c>
      <c r="H29" s="3">
        <f t="shared" si="3"/>
        <v>62.94</v>
      </c>
      <c r="I29" s="3">
        <f t="shared" si="4"/>
        <v>62.022222222222226</v>
      </c>
      <c r="J29" s="3">
        <f t="shared" si="5"/>
        <v>61.421666666666674</v>
      </c>
    </row>
    <row r="30" spans="1:10" x14ac:dyDescent="0.2">
      <c r="A30" s="9">
        <v>42856</v>
      </c>
      <c r="B30" s="3">
        <v>64.27</v>
      </c>
      <c r="C30" s="3">
        <f t="shared" si="0"/>
        <v>-6.0000000000002274E-2</v>
      </c>
      <c r="D30" s="7">
        <f t="shared" si="1"/>
        <v>-9.3269081299551804E-4</v>
      </c>
      <c r="E30" s="3">
        <f t="shared" si="6"/>
        <v>4.8499999999999943</v>
      </c>
      <c r="F30" s="7">
        <f t="shared" si="7"/>
        <v>8.162234937731383E-2</v>
      </c>
      <c r="G30" s="3">
        <f t="shared" si="2"/>
        <v>64.146666666666661</v>
      </c>
      <c r="H30" s="3">
        <f t="shared" si="3"/>
        <v>63.481666666666662</v>
      </c>
      <c r="I30" s="3">
        <f t="shared" si="4"/>
        <v>62.522222222222226</v>
      </c>
      <c r="J30" s="3">
        <f t="shared" si="5"/>
        <v>61.825833333333343</v>
      </c>
    </row>
    <row r="31" spans="1:10" x14ac:dyDescent="0.2">
      <c r="A31" s="9">
        <v>42887</v>
      </c>
      <c r="B31" s="3">
        <v>64.16</v>
      </c>
      <c r="C31" s="3">
        <f t="shared" si="0"/>
        <v>-0.10999999999999943</v>
      </c>
      <c r="D31" s="7">
        <f t="shared" si="1"/>
        <v>-1.7115294849852081E-3</v>
      </c>
      <c r="E31" s="3">
        <f t="shared" si="6"/>
        <v>4.5499999999999972</v>
      </c>
      <c r="F31" s="7">
        <f t="shared" si="7"/>
        <v>7.6329474920315388E-2</v>
      </c>
      <c r="G31" s="3">
        <f t="shared" si="2"/>
        <v>64.25333333333333</v>
      </c>
      <c r="H31" s="3">
        <f t="shared" si="3"/>
        <v>63.851666666666667</v>
      </c>
      <c r="I31" s="3">
        <f t="shared" si="4"/>
        <v>62.973333333333329</v>
      </c>
      <c r="J31" s="3">
        <f t="shared" si="5"/>
        <v>62.204999999999991</v>
      </c>
    </row>
    <row r="32" spans="1:10" x14ac:dyDescent="0.2">
      <c r="A32" s="9">
        <v>42917</v>
      </c>
      <c r="B32" s="3">
        <v>64.97</v>
      </c>
      <c r="C32" s="3">
        <f t="shared" si="0"/>
        <v>0.81000000000000227</v>
      </c>
      <c r="D32" s="7">
        <f t="shared" si="1"/>
        <v>1.2624688279301743E-2</v>
      </c>
      <c r="E32" s="3">
        <f t="shared" si="6"/>
        <v>5.1400000000000006</v>
      </c>
      <c r="F32" s="7">
        <f t="shared" si="7"/>
        <v>8.5910078555908376E-2</v>
      </c>
      <c r="G32" s="3">
        <f t="shared" si="2"/>
        <v>64.466666666666669</v>
      </c>
      <c r="H32" s="3">
        <f t="shared" si="3"/>
        <v>64.180000000000007</v>
      </c>
      <c r="I32" s="3">
        <f t="shared" si="4"/>
        <v>63.448888888888888</v>
      </c>
      <c r="J32" s="3">
        <f t="shared" si="5"/>
        <v>62.633333333333333</v>
      </c>
    </row>
    <row r="33" spans="1:10" x14ac:dyDescent="0.2">
      <c r="A33" s="9">
        <v>42948</v>
      </c>
      <c r="B33" s="3">
        <v>65.41</v>
      </c>
      <c r="C33" s="3">
        <f t="shared" si="0"/>
        <v>0.43999999999999773</v>
      </c>
      <c r="D33" s="7">
        <f t="shared" si="1"/>
        <v>6.7723564722179663E-3</v>
      </c>
      <c r="E33" s="3">
        <f t="shared" si="6"/>
        <v>5.6399999999999935</v>
      </c>
      <c r="F33" s="7">
        <f t="shared" si="7"/>
        <v>9.4361719926384424E-2</v>
      </c>
      <c r="G33" s="3">
        <f t="shared" si="2"/>
        <v>64.846666666666664</v>
      </c>
      <c r="H33" s="3">
        <f t="shared" si="3"/>
        <v>64.49666666666667</v>
      </c>
      <c r="I33" s="3">
        <f t="shared" si="4"/>
        <v>63.93666666666666</v>
      </c>
      <c r="J33" s="3">
        <f t="shared" si="5"/>
        <v>63.103333333333332</v>
      </c>
    </row>
    <row r="34" spans="1:10" x14ac:dyDescent="0.2">
      <c r="A34" s="9">
        <v>42979</v>
      </c>
      <c r="B34" s="3">
        <v>65.97</v>
      </c>
      <c r="C34" s="3">
        <f t="shared" si="0"/>
        <v>0.56000000000000227</v>
      </c>
      <c r="D34" s="7">
        <f t="shared" si="1"/>
        <v>8.5613820516741157E-3</v>
      </c>
      <c r="E34" s="3">
        <f t="shared" si="6"/>
        <v>5.8699999999999974</v>
      </c>
      <c r="F34" s="7">
        <f t="shared" si="7"/>
        <v>9.7670549084858616E-2</v>
      </c>
      <c r="G34" s="3">
        <f t="shared" si="2"/>
        <v>65.45</v>
      </c>
      <c r="H34" s="3">
        <f t="shared" si="3"/>
        <v>64.851666666666674</v>
      </c>
      <c r="I34" s="3">
        <f t="shared" si="4"/>
        <v>64.384444444444455</v>
      </c>
      <c r="J34" s="3">
        <f t="shared" si="5"/>
        <v>63.592500000000001</v>
      </c>
    </row>
    <row r="35" spans="1:10" x14ac:dyDescent="0.2">
      <c r="A35" s="9">
        <v>43009</v>
      </c>
      <c r="B35" s="3">
        <v>67.16</v>
      </c>
      <c r="C35" s="3">
        <f t="shared" si="0"/>
        <v>1.1899999999999977</v>
      </c>
      <c r="D35" s="7">
        <f t="shared" si="1"/>
        <v>1.8038502349552843E-2</v>
      </c>
      <c r="E35" s="3">
        <f t="shared" si="6"/>
        <v>6.4699999999999989</v>
      </c>
      <c r="F35" s="7">
        <f t="shared" si="7"/>
        <v>0.10660734882188172</v>
      </c>
      <c r="G35" s="3">
        <f t="shared" si="2"/>
        <v>66.179999999999993</v>
      </c>
      <c r="H35" s="3">
        <f t="shared" si="3"/>
        <v>65.323333333333323</v>
      </c>
      <c r="I35" s="3">
        <f t="shared" si="4"/>
        <v>64.846666666666664</v>
      </c>
      <c r="J35" s="3">
        <f t="shared" si="5"/>
        <v>64.131666666666661</v>
      </c>
    </row>
    <row r="36" spans="1:10" x14ac:dyDescent="0.2">
      <c r="A36" s="9">
        <v>43040</v>
      </c>
      <c r="B36" s="3">
        <v>68.650000000000006</v>
      </c>
      <c r="C36" s="3">
        <f t="shared" si="0"/>
        <v>1.4900000000000091</v>
      </c>
      <c r="D36" s="7">
        <f t="shared" si="1"/>
        <v>2.2185824895771367E-2</v>
      </c>
      <c r="E36" s="3">
        <f t="shared" si="6"/>
        <v>7.6300000000000026</v>
      </c>
      <c r="F36" s="7">
        <f t="shared" si="7"/>
        <v>0.12504097017371363</v>
      </c>
      <c r="G36" s="3">
        <f t="shared" si="2"/>
        <v>67.260000000000005</v>
      </c>
      <c r="H36" s="3">
        <f t="shared" si="3"/>
        <v>66.053333333333327</v>
      </c>
      <c r="I36" s="3">
        <f t="shared" si="4"/>
        <v>65.417777777777772</v>
      </c>
      <c r="J36" s="3">
        <f t="shared" si="5"/>
        <v>64.767499999999998</v>
      </c>
    </row>
    <row r="37" spans="1:10" x14ac:dyDescent="0.2">
      <c r="A37" s="9">
        <v>43070</v>
      </c>
      <c r="B37" s="3">
        <v>69.42</v>
      </c>
      <c r="C37" s="3">
        <f t="shared" si="0"/>
        <v>0.76999999999999602</v>
      </c>
      <c r="D37" s="7">
        <f t="shared" si="1"/>
        <v>1.1216314639475478E-2</v>
      </c>
      <c r="E37" s="3">
        <f t="shared" si="6"/>
        <v>7.480000000000004</v>
      </c>
      <c r="F37" s="7">
        <f t="shared" si="7"/>
        <v>0.12076202776880862</v>
      </c>
      <c r="G37" s="3">
        <f t="shared" si="2"/>
        <v>68.410000000000011</v>
      </c>
      <c r="H37" s="3">
        <f t="shared" si="3"/>
        <v>66.929999999999993</v>
      </c>
      <c r="I37" s="3">
        <f t="shared" si="4"/>
        <v>66.037777777777762</v>
      </c>
      <c r="J37" s="3">
        <f t="shared" si="5"/>
        <v>65.390833333333333</v>
      </c>
    </row>
    <row r="38" spans="1:10" x14ac:dyDescent="0.2">
      <c r="A38" s="9">
        <v>43101</v>
      </c>
      <c r="B38" s="3">
        <v>71.78</v>
      </c>
      <c r="C38" s="3">
        <f t="shared" si="0"/>
        <v>2.3599999999999994</v>
      </c>
      <c r="D38" s="7">
        <f t="shared" si="1"/>
        <v>3.3995966580236292E-2</v>
      </c>
      <c r="E38" s="3">
        <f t="shared" si="6"/>
        <v>8.7800000000000011</v>
      </c>
      <c r="F38" s="7">
        <f t="shared" si="7"/>
        <v>0.13936507936507936</v>
      </c>
      <c r="G38" s="3">
        <f t="shared" si="2"/>
        <v>69.95</v>
      </c>
      <c r="H38" s="3">
        <f t="shared" si="3"/>
        <v>68.064999999999998</v>
      </c>
      <c r="I38" s="3">
        <f t="shared" si="4"/>
        <v>66.865555555555545</v>
      </c>
      <c r="J38" s="3">
        <f t="shared" si="5"/>
        <v>66.122499999999988</v>
      </c>
    </row>
    <row r="39" spans="1:10" x14ac:dyDescent="0.2">
      <c r="A39" s="9">
        <v>43132</v>
      </c>
      <c r="B39" s="3">
        <v>72.5</v>
      </c>
      <c r="C39" s="3">
        <f t="shared" si="0"/>
        <v>0.71999999999999886</v>
      </c>
      <c r="D39" s="7">
        <f t="shared" si="1"/>
        <v>1.0030649205907016E-2</v>
      </c>
      <c r="E39" s="3">
        <f t="shared" si="6"/>
        <v>8.990000000000002</v>
      </c>
      <c r="F39" s="7">
        <f t="shared" si="7"/>
        <v>0.14155251141552516</v>
      </c>
      <c r="G39" s="3">
        <f t="shared" si="2"/>
        <v>71.233333333333334</v>
      </c>
      <c r="H39" s="3">
        <f t="shared" si="3"/>
        <v>69.24666666666667</v>
      </c>
      <c r="I39" s="3">
        <f t="shared" si="4"/>
        <v>67.78</v>
      </c>
      <c r="J39" s="3">
        <f t="shared" si="5"/>
        <v>66.871666666666655</v>
      </c>
    </row>
    <row r="40" spans="1:10" x14ac:dyDescent="0.2">
      <c r="A40" s="9">
        <v>43160</v>
      </c>
      <c r="B40" s="3">
        <v>73.38</v>
      </c>
      <c r="C40" s="3">
        <f t="shared" si="0"/>
        <v>0.87999999999999545</v>
      </c>
      <c r="D40" s="7">
        <f t="shared" si="1"/>
        <v>1.2137931034482685E-2</v>
      </c>
      <c r="E40" s="3">
        <f t="shared" si="6"/>
        <v>9.539999999999992</v>
      </c>
      <c r="F40" s="7">
        <f t="shared" si="7"/>
        <v>0.14943609022556381</v>
      </c>
      <c r="G40" s="3">
        <f t="shared" si="2"/>
        <v>72.553333333333327</v>
      </c>
      <c r="H40" s="3">
        <f t="shared" si="3"/>
        <v>70.481666666666669</v>
      </c>
      <c r="I40" s="3">
        <f t="shared" si="4"/>
        <v>68.804444444444442</v>
      </c>
      <c r="J40" s="3">
        <f t="shared" si="5"/>
        <v>67.666666666666657</v>
      </c>
    </row>
    <row r="41" spans="1:10" x14ac:dyDescent="0.2">
      <c r="A41" s="9">
        <v>43191</v>
      </c>
      <c r="B41" s="3">
        <v>74.94</v>
      </c>
      <c r="C41" s="3">
        <f t="shared" si="0"/>
        <v>1.5600000000000023</v>
      </c>
      <c r="D41" s="7">
        <f t="shared" si="1"/>
        <v>2.1259198691741643E-2</v>
      </c>
      <c r="E41" s="3">
        <f t="shared" si="6"/>
        <v>10.61</v>
      </c>
      <c r="F41" s="7">
        <f t="shared" si="7"/>
        <v>0.1649308254313695</v>
      </c>
      <c r="G41" s="3">
        <f t="shared" si="2"/>
        <v>73.606666666666669</v>
      </c>
      <c r="H41" s="3">
        <f t="shared" si="3"/>
        <v>71.778333333333336</v>
      </c>
      <c r="I41" s="3">
        <f t="shared" si="4"/>
        <v>69.912222222222226</v>
      </c>
      <c r="J41" s="3">
        <f t="shared" si="5"/>
        <v>68.55083333333333</v>
      </c>
    </row>
    <row r="42" spans="1:10" x14ac:dyDescent="0.2">
      <c r="A42" s="9">
        <v>43221</v>
      </c>
      <c r="B42" s="3">
        <v>75.819999999999993</v>
      </c>
      <c r="C42" s="3">
        <f t="shared" si="0"/>
        <v>0.87999999999999545</v>
      </c>
      <c r="D42" s="7">
        <f t="shared" si="1"/>
        <v>1.1742727515345441E-2</v>
      </c>
      <c r="E42" s="3">
        <f t="shared" si="6"/>
        <v>11.549999999999997</v>
      </c>
      <c r="F42" s="7">
        <f t="shared" si="7"/>
        <v>0.17971059592344796</v>
      </c>
      <c r="G42" s="3">
        <f t="shared" si="2"/>
        <v>74.713333333333324</v>
      </c>
      <c r="H42" s="3">
        <f t="shared" si="3"/>
        <v>72.973333333333329</v>
      </c>
      <c r="I42" s="3">
        <f t="shared" si="4"/>
        <v>71.068888888888878</v>
      </c>
      <c r="J42" s="3">
        <f t="shared" si="5"/>
        <v>69.513333333333321</v>
      </c>
    </row>
    <row r="43" spans="1:10" x14ac:dyDescent="0.2">
      <c r="A43" s="9">
        <v>43252</v>
      </c>
      <c r="B43" s="3">
        <v>76.66</v>
      </c>
      <c r="C43" s="3">
        <f t="shared" si="0"/>
        <v>0.84000000000000341</v>
      </c>
      <c r="D43" s="7">
        <f t="shared" si="1"/>
        <v>1.1078871010287594E-2</v>
      </c>
      <c r="E43" s="3">
        <f t="shared" si="6"/>
        <v>12.5</v>
      </c>
      <c r="F43" s="7">
        <f t="shared" si="7"/>
        <v>0.19482543640897765</v>
      </c>
      <c r="G43" s="3">
        <f t="shared" si="2"/>
        <v>75.806666666666658</v>
      </c>
      <c r="H43" s="3">
        <f t="shared" si="3"/>
        <v>74.180000000000007</v>
      </c>
      <c r="I43" s="3">
        <f t="shared" si="4"/>
        <v>72.256666666666661</v>
      </c>
      <c r="J43" s="3">
        <f t="shared" si="5"/>
        <v>70.554999999999993</v>
      </c>
    </row>
    <row r="44" spans="1:10" x14ac:dyDescent="0.2">
      <c r="A44" s="9">
        <v>43282</v>
      </c>
      <c r="B44" s="3">
        <v>77.75</v>
      </c>
      <c r="C44" s="3">
        <f t="shared" si="0"/>
        <v>1.0900000000000034</v>
      </c>
      <c r="D44" s="7">
        <f t="shared" si="1"/>
        <v>1.4218627706757081E-2</v>
      </c>
      <c r="E44" s="3">
        <f t="shared" si="6"/>
        <v>12.780000000000001</v>
      </c>
      <c r="F44" s="7">
        <f t="shared" si="7"/>
        <v>0.1967061720794212</v>
      </c>
      <c r="G44" s="3">
        <f t="shared" si="2"/>
        <v>76.743333333333325</v>
      </c>
      <c r="H44" s="3">
        <f t="shared" si="3"/>
        <v>75.174999999999997</v>
      </c>
      <c r="I44" s="3">
        <f t="shared" si="4"/>
        <v>73.433333333333337</v>
      </c>
      <c r="J44" s="3">
        <f t="shared" si="5"/>
        <v>71.61999999999999</v>
      </c>
    </row>
    <row r="45" spans="1:10" x14ac:dyDescent="0.2">
      <c r="A45" s="9">
        <v>43313</v>
      </c>
      <c r="B45" s="3">
        <v>80.709999999999994</v>
      </c>
      <c r="C45" s="3">
        <f t="shared" si="0"/>
        <v>2.9599999999999937</v>
      </c>
      <c r="D45" s="7">
        <f t="shared" si="1"/>
        <v>3.8070739549839194E-2</v>
      </c>
      <c r="E45" s="3">
        <f t="shared" si="6"/>
        <v>15.299999999999997</v>
      </c>
      <c r="F45" s="7">
        <f t="shared" si="7"/>
        <v>0.23390918819752327</v>
      </c>
      <c r="G45" s="3">
        <f t="shared" si="2"/>
        <v>78.373333333333335</v>
      </c>
      <c r="H45" s="3">
        <f t="shared" si="3"/>
        <v>76.543333333333322</v>
      </c>
      <c r="I45" s="3">
        <f t="shared" si="4"/>
        <v>74.773333333333341</v>
      </c>
      <c r="J45" s="3">
        <f t="shared" si="5"/>
        <v>72.894999999999996</v>
      </c>
    </row>
    <row r="46" spans="1:10" x14ac:dyDescent="0.2">
      <c r="A46" s="9">
        <v>43344</v>
      </c>
      <c r="B46" s="3">
        <v>83.49</v>
      </c>
      <c r="C46" s="3">
        <f t="shared" si="0"/>
        <v>2.7800000000000011</v>
      </c>
      <c r="D46" s="7">
        <f t="shared" si="1"/>
        <v>3.4444306777350997E-2</v>
      </c>
      <c r="E46" s="3">
        <f t="shared" si="6"/>
        <v>17.519999999999996</v>
      </c>
      <c r="F46" s="7">
        <f t="shared" si="7"/>
        <v>0.265575261482492</v>
      </c>
      <c r="G46" s="3">
        <f t="shared" si="2"/>
        <v>80.649999999999991</v>
      </c>
      <c r="H46" s="3">
        <f t="shared" si="3"/>
        <v>78.228333333333325</v>
      </c>
      <c r="I46" s="3">
        <f t="shared" si="4"/>
        <v>76.336666666666673</v>
      </c>
      <c r="J46" s="3">
        <f t="shared" si="5"/>
        <v>74.355000000000004</v>
      </c>
    </row>
    <row r="47" spans="1:10" x14ac:dyDescent="0.2">
      <c r="A47" s="9">
        <v>43374</v>
      </c>
      <c r="B47" s="3">
        <v>85.76</v>
      </c>
      <c r="C47" s="3">
        <f t="shared" si="0"/>
        <v>2.2700000000000102</v>
      </c>
      <c r="D47" s="7">
        <f t="shared" si="1"/>
        <v>2.7188884896394816E-2</v>
      </c>
      <c r="E47" s="3">
        <f t="shared" si="6"/>
        <v>18.600000000000009</v>
      </c>
      <c r="F47" s="7">
        <f t="shared" si="7"/>
        <v>0.27695056581298405</v>
      </c>
      <c r="G47" s="3">
        <f t="shared" si="2"/>
        <v>83.32</v>
      </c>
      <c r="H47" s="3">
        <f t="shared" si="3"/>
        <v>80.031666666666666</v>
      </c>
      <c r="I47" s="3">
        <f t="shared" si="4"/>
        <v>77.89</v>
      </c>
      <c r="J47" s="3">
        <f t="shared" si="5"/>
        <v>75.905000000000001</v>
      </c>
    </row>
    <row r="48" spans="1:10" x14ac:dyDescent="0.2">
      <c r="A48" s="9">
        <v>43405</v>
      </c>
      <c r="B48" s="3">
        <v>85.83</v>
      </c>
      <c r="C48" s="3">
        <f t="shared" si="0"/>
        <v>6.9999999999993179E-2</v>
      </c>
      <c r="D48" s="7">
        <f t="shared" si="1"/>
        <v>8.1623134328356883E-4</v>
      </c>
      <c r="E48" s="3">
        <f t="shared" si="6"/>
        <v>17.179999999999993</v>
      </c>
      <c r="F48" s="7">
        <f t="shared" si="7"/>
        <v>0.25025491624180618</v>
      </c>
      <c r="G48" s="3">
        <f t="shared" si="2"/>
        <v>85.026666666666657</v>
      </c>
      <c r="H48" s="3">
        <f t="shared" si="3"/>
        <v>81.7</v>
      </c>
      <c r="I48" s="3">
        <f t="shared" si="4"/>
        <v>79.371111111111105</v>
      </c>
      <c r="J48" s="3">
        <f t="shared" si="5"/>
        <v>77.336666666666673</v>
      </c>
    </row>
    <row r="49" spans="1:10" x14ac:dyDescent="0.2">
      <c r="A49" s="9">
        <v>43435</v>
      </c>
      <c r="B49" s="3">
        <v>85.29</v>
      </c>
      <c r="C49" s="3">
        <f t="shared" si="0"/>
        <v>-0.53999999999999204</v>
      </c>
      <c r="D49" s="7">
        <f t="shared" si="1"/>
        <v>-6.2915064662704134E-3</v>
      </c>
      <c r="E49" s="3">
        <f t="shared" si="6"/>
        <v>15.870000000000005</v>
      </c>
      <c r="F49" s="7">
        <f t="shared" si="7"/>
        <v>0.22860847018150388</v>
      </c>
      <c r="G49" s="3">
        <f t="shared" si="2"/>
        <v>85.626666666666665</v>
      </c>
      <c r="H49" s="3">
        <f t="shared" si="3"/>
        <v>83.138333333333335</v>
      </c>
      <c r="I49" s="3">
        <f t="shared" si="4"/>
        <v>80.694444444444443</v>
      </c>
      <c r="J49" s="3">
        <f t="shared" si="5"/>
        <v>78.659166666666678</v>
      </c>
    </row>
    <row r="50" spans="1:10" x14ac:dyDescent="0.2">
      <c r="A50" s="9">
        <v>43466</v>
      </c>
      <c r="B50" s="3">
        <v>87.16</v>
      </c>
      <c r="C50" s="3">
        <f t="shared" si="0"/>
        <v>1.8699999999999903</v>
      </c>
      <c r="D50" s="7">
        <f t="shared" si="1"/>
        <v>2.192519638879098E-2</v>
      </c>
      <c r="E50" s="3">
        <f t="shared" si="6"/>
        <v>15.379999999999995</v>
      </c>
      <c r="F50" s="7">
        <f t="shared" si="7"/>
        <v>0.21426581220395646</v>
      </c>
      <c r="G50" s="3">
        <f t="shared" si="2"/>
        <v>86.09333333333332</v>
      </c>
      <c r="H50" s="3">
        <f t="shared" si="3"/>
        <v>84.706666666666663</v>
      </c>
      <c r="I50" s="3">
        <f t="shared" si="4"/>
        <v>82.052222222222213</v>
      </c>
      <c r="J50" s="3">
        <f t="shared" si="5"/>
        <v>79.94083333333333</v>
      </c>
    </row>
    <row r="51" spans="1:10" x14ac:dyDescent="0.2">
      <c r="A51" s="9">
        <v>43497</v>
      </c>
      <c r="B51" s="3">
        <v>87.59</v>
      </c>
      <c r="C51" s="3">
        <f t="shared" si="0"/>
        <v>0.43000000000000682</v>
      </c>
      <c r="D51" s="7">
        <f t="shared" si="1"/>
        <v>4.9334557136302415E-3</v>
      </c>
      <c r="E51" s="3">
        <f t="shared" si="6"/>
        <v>15.090000000000003</v>
      </c>
      <c r="F51" s="7">
        <f t="shared" si="7"/>
        <v>0.20813793103448286</v>
      </c>
      <c r="G51" s="3">
        <f t="shared" si="2"/>
        <v>86.679999999999993</v>
      </c>
      <c r="H51" s="3">
        <f t="shared" si="3"/>
        <v>85.853333333333339</v>
      </c>
      <c r="I51" s="3">
        <f t="shared" si="4"/>
        <v>83.36</v>
      </c>
      <c r="J51" s="3">
        <f t="shared" si="5"/>
        <v>81.198333333333323</v>
      </c>
    </row>
    <row r="52" spans="1:10" x14ac:dyDescent="0.2">
      <c r="A52" s="9">
        <v>43525</v>
      </c>
      <c r="B52" s="3">
        <v>88.76</v>
      </c>
      <c r="C52" s="3">
        <f t="shared" si="0"/>
        <v>1.1700000000000017</v>
      </c>
      <c r="D52" s="7">
        <f t="shared" si="1"/>
        <v>1.3357689233930881E-2</v>
      </c>
      <c r="E52" s="3">
        <f t="shared" si="6"/>
        <v>15.38000000000001</v>
      </c>
      <c r="F52" s="7">
        <f t="shared" si="7"/>
        <v>0.20959389479422197</v>
      </c>
      <c r="G52" s="3">
        <f t="shared" si="2"/>
        <v>87.836666666666659</v>
      </c>
      <c r="H52" s="3">
        <f t="shared" si="3"/>
        <v>86.731666666666669</v>
      </c>
      <c r="I52" s="3">
        <f t="shared" si="4"/>
        <v>84.704444444444448</v>
      </c>
      <c r="J52" s="3">
        <f t="shared" si="5"/>
        <v>82.48</v>
      </c>
    </row>
    <row r="53" spans="1:10" x14ac:dyDescent="0.2">
      <c r="A53" s="9">
        <v>43556</v>
      </c>
      <c r="B53" s="3">
        <v>89.51</v>
      </c>
      <c r="C53" s="3">
        <f t="shared" si="0"/>
        <v>0.75</v>
      </c>
      <c r="D53" s="7">
        <f t="shared" si="1"/>
        <v>8.44975214060395E-3</v>
      </c>
      <c r="E53" s="3">
        <f t="shared" si="6"/>
        <v>14.570000000000007</v>
      </c>
      <c r="F53" s="7">
        <f t="shared" si="7"/>
        <v>0.19442220443021085</v>
      </c>
      <c r="G53" s="3">
        <f t="shared" si="2"/>
        <v>88.62</v>
      </c>
      <c r="H53" s="3">
        <f t="shared" si="3"/>
        <v>87.356666666666669</v>
      </c>
      <c r="I53" s="3">
        <f t="shared" si="4"/>
        <v>86.01111111111112</v>
      </c>
      <c r="J53" s="3">
        <f t="shared" si="5"/>
        <v>83.694166666666661</v>
      </c>
    </row>
    <row r="54" spans="1:10" x14ac:dyDescent="0.2">
      <c r="A54" s="9">
        <v>43586</v>
      </c>
      <c r="B54" s="3">
        <v>90.88</v>
      </c>
      <c r="C54" s="3">
        <f t="shared" si="0"/>
        <v>1.3699999999999903</v>
      </c>
      <c r="D54" s="7">
        <f t="shared" si="1"/>
        <v>1.5305552452239857E-2</v>
      </c>
      <c r="E54" s="3">
        <f t="shared" si="6"/>
        <v>15.060000000000002</v>
      </c>
      <c r="F54" s="7">
        <f t="shared" si="7"/>
        <v>0.19862833025586912</v>
      </c>
      <c r="G54" s="3">
        <f t="shared" si="2"/>
        <v>89.716666666666654</v>
      </c>
      <c r="H54" s="3">
        <f t="shared" si="3"/>
        <v>88.198333333333323</v>
      </c>
      <c r="I54" s="3">
        <f t="shared" si="4"/>
        <v>87.141111111111115</v>
      </c>
      <c r="J54" s="3">
        <f t="shared" si="5"/>
        <v>84.94916666666667</v>
      </c>
    </row>
    <row r="55" spans="1:10" x14ac:dyDescent="0.2">
      <c r="A55" s="9">
        <v>43617</v>
      </c>
      <c r="B55" s="3">
        <v>90.91</v>
      </c>
      <c r="C55" s="3">
        <f t="shared" si="0"/>
        <v>3.0000000000001137E-2</v>
      </c>
      <c r="D55" s="7">
        <f t="shared" si="1"/>
        <v>3.3010563380275748E-4</v>
      </c>
      <c r="E55" s="3">
        <f t="shared" si="6"/>
        <v>14.25</v>
      </c>
      <c r="F55" s="7">
        <f t="shared" si="7"/>
        <v>0.18588572919384294</v>
      </c>
      <c r="G55" s="3">
        <f t="shared" si="2"/>
        <v>90.433333333333323</v>
      </c>
      <c r="H55" s="3">
        <f t="shared" si="3"/>
        <v>89.134999999999991</v>
      </c>
      <c r="I55" s="3">
        <f t="shared" si="4"/>
        <v>87.965555555555554</v>
      </c>
      <c r="J55" s="3">
        <f t="shared" si="5"/>
        <v>86.13666666666667</v>
      </c>
    </row>
    <row r="56" spans="1:10" x14ac:dyDescent="0.2">
      <c r="A56" s="9">
        <v>43647</v>
      </c>
      <c r="B56" s="3">
        <v>91.49</v>
      </c>
      <c r="C56" s="3">
        <f t="shared" si="0"/>
        <v>0.57999999999999829</v>
      </c>
      <c r="D56" s="7">
        <f t="shared" si="1"/>
        <v>6.3799362006380367E-3</v>
      </c>
      <c r="E56" s="3">
        <f t="shared" si="6"/>
        <v>13.739999999999995</v>
      </c>
      <c r="F56" s="7">
        <f t="shared" si="7"/>
        <v>0.17672025723472662</v>
      </c>
      <c r="G56" s="3">
        <f t="shared" si="2"/>
        <v>91.09333333333332</v>
      </c>
      <c r="H56" s="3">
        <f t="shared" si="3"/>
        <v>89.856666666666669</v>
      </c>
      <c r="I56" s="3">
        <f t="shared" si="4"/>
        <v>88.602222222222224</v>
      </c>
      <c r="J56" s="3">
        <f t="shared" si="5"/>
        <v>87.281666666666652</v>
      </c>
    </row>
    <row r="57" spans="1:10" x14ac:dyDescent="0.2">
      <c r="A57" s="9">
        <v>43678</v>
      </c>
      <c r="B57" s="3">
        <v>91.62</v>
      </c>
      <c r="C57" s="3">
        <f t="shared" si="0"/>
        <v>0.13000000000000966</v>
      </c>
      <c r="D57" s="7">
        <f t="shared" si="1"/>
        <v>1.4209203191606345E-3</v>
      </c>
      <c r="E57" s="3">
        <f t="shared" si="6"/>
        <v>10.910000000000011</v>
      </c>
      <c r="F57" s="7">
        <f t="shared" si="7"/>
        <v>0.13517531904348923</v>
      </c>
      <c r="G57" s="3">
        <f t="shared" si="2"/>
        <v>91.339999999999989</v>
      </c>
      <c r="H57" s="3">
        <f t="shared" si="3"/>
        <v>90.528333333333322</v>
      </c>
      <c r="I57" s="3">
        <f t="shared" si="4"/>
        <v>89.245555555555541</v>
      </c>
      <c r="J57" s="3">
        <f t="shared" si="5"/>
        <v>88.19083333333333</v>
      </c>
    </row>
    <row r="58" spans="1:10" x14ac:dyDescent="0.2">
      <c r="A58" s="9">
        <v>43709</v>
      </c>
      <c r="B58" s="3">
        <v>91.61</v>
      </c>
      <c r="C58" s="3">
        <f t="shared" si="0"/>
        <v>-1.0000000000005116E-2</v>
      </c>
      <c r="D58" s="7">
        <f t="shared" si="1"/>
        <v>-1.0914647456894411E-4</v>
      </c>
      <c r="E58" s="3">
        <f t="shared" si="6"/>
        <v>8.1200000000000045</v>
      </c>
      <c r="F58" s="7">
        <f t="shared" si="7"/>
        <v>9.7257156545694112E-2</v>
      </c>
      <c r="G58" s="3">
        <f t="shared" si="2"/>
        <v>91.573333333333338</v>
      </c>
      <c r="H58" s="3">
        <f t="shared" si="3"/>
        <v>91.00333333333333</v>
      </c>
      <c r="I58" s="3">
        <f t="shared" si="4"/>
        <v>89.947777777777773</v>
      </c>
      <c r="J58" s="3">
        <f t="shared" si="5"/>
        <v>88.867499999999993</v>
      </c>
    </row>
    <row r="59" spans="1:10" x14ac:dyDescent="0.2">
      <c r="A59" s="9">
        <v>43739</v>
      </c>
      <c r="B59" s="3">
        <v>92.44</v>
      </c>
      <c r="C59" s="3">
        <f t="shared" si="0"/>
        <v>0.82999999999999829</v>
      </c>
      <c r="D59" s="7">
        <f t="shared" si="1"/>
        <v>9.0601462722410542E-3</v>
      </c>
      <c r="E59" s="3">
        <f t="shared" si="6"/>
        <v>6.6799999999999926</v>
      </c>
      <c r="F59" s="7">
        <f t="shared" si="7"/>
        <v>7.789179104477606E-2</v>
      </c>
      <c r="G59" s="3">
        <f t="shared" si="2"/>
        <v>91.89</v>
      </c>
      <c r="H59" s="3">
        <f t="shared" si="3"/>
        <v>91.491666666666674</v>
      </c>
      <c r="I59" s="3">
        <f t="shared" si="4"/>
        <v>90.534444444444432</v>
      </c>
      <c r="J59" s="3">
        <f t="shared" si="5"/>
        <v>89.424166666666665</v>
      </c>
    </row>
    <row r="60" spans="1:10" x14ac:dyDescent="0.2">
      <c r="A60" s="9">
        <v>43770</v>
      </c>
      <c r="B60" s="3">
        <v>93.18</v>
      </c>
      <c r="C60" s="3">
        <f t="shared" si="0"/>
        <v>0.74000000000000909</v>
      </c>
      <c r="D60" s="7">
        <f t="shared" si="1"/>
        <v>8.0051925573345617E-3</v>
      </c>
      <c r="E60" s="3">
        <f t="shared" si="6"/>
        <v>7.3500000000000085</v>
      </c>
      <c r="F60" s="7">
        <f t="shared" si="7"/>
        <v>8.5634393568682299E-2</v>
      </c>
      <c r="G60" s="3">
        <f t="shared" si="2"/>
        <v>92.410000000000011</v>
      </c>
      <c r="H60" s="3">
        <f t="shared" si="3"/>
        <v>91.875</v>
      </c>
      <c r="I60" s="3">
        <f t="shared" si="4"/>
        <v>91.155555555555566</v>
      </c>
      <c r="J60" s="3">
        <f t="shared" si="5"/>
        <v>90.036666666666676</v>
      </c>
    </row>
    <row r="61" spans="1:10" x14ac:dyDescent="0.2">
      <c r="A61" s="9">
        <v>43800</v>
      </c>
      <c r="B61" s="3">
        <v>93.95</v>
      </c>
      <c r="C61" s="3">
        <f t="shared" si="0"/>
        <v>0.76999999999999602</v>
      </c>
      <c r="D61" s="7">
        <f t="shared" si="1"/>
        <v>8.2635758746512078E-3</v>
      </c>
      <c r="E61" s="3">
        <f t="shared" si="6"/>
        <v>8.6599999999999966</v>
      </c>
      <c r="F61" s="7">
        <f t="shared" si="7"/>
        <v>0.10153593621761048</v>
      </c>
      <c r="G61" s="3">
        <f t="shared" si="2"/>
        <v>93.19</v>
      </c>
      <c r="H61" s="3">
        <f t="shared" si="3"/>
        <v>92.381666666666675</v>
      </c>
      <c r="I61" s="3">
        <f t="shared" si="4"/>
        <v>91.732222222222234</v>
      </c>
      <c r="J61" s="3">
        <f t="shared" si="5"/>
        <v>90.75833333333334</v>
      </c>
    </row>
    <row r="62" spans="1:10" x14ac:dyDescent="0.2">
      <c r="A62" s="9">
        <v>43831</v>
      </c>
      <c r="B62" s="3">
        <v>94.95</v>
      </c>
      <c r="C62" s="3">
        <f t="shared" si="0"/>
        <v>1</v>
      </c>
      <c r="D62" s="7">
        <f t="shared" si="1"/>
        <v>1.0643959552953719E-2</v>
      </c>
      <c r="E62" s="3">
        <f t="shared" si="6"/>
        <v>7.7900000000000063</v>
      </c>
      <c r="F62" s="7">
        <f t="shared" si="7"/>
        <v>8.9375860486461844E-2</v>
      </c>
      <c r="G62" s="3">
        <f t="shared" si="2"/>
        <v>94.026666666666657</v>
      </c>
      <c r="H62" s="3">
        <f t="shared" si="3"/>
        <v>92.958333333333329</v>
      </c>
      <c r="I62" s="3">
        <f t="shared" si="4"/>
        <v>92.336666666666687</v>
      </c>
      <c r="J62" s="3">
        <f t="shared" si="5"/>
        <v>91.407500000000013</v>
      </c>
    </row>
    <row r="63" spans="1:10" x14ac:dyDescent="0.2">
      <c r="A63" s="9">
        <v>43862</v>
      </c>
      <c r="B63" s="3">
        <v>95.35</v>
      </c>
      <c r="C63" s="3">
        <f t="shared" si="0"/>
        <v>0.39999999999999147</v>
      </c>
      <c r="D63" s="7">
        <f t="shared" si="1"/>
        <v>4.2127435492362864E-3</v>
      </c>
      <c r="E63" s="3">
        <f t="shared" si="6"/>
        <v>7.7599999999999909</v>
      </c>
      <c r="F63" s="7">
        <f t="shared" si="7"/>
        <v>8.8594588423335896E-2</v>
      </c>
      <c r="G63" s="3">
        <f t="shared" si="2"/>
        <v>94.75</v>
      </c>
      <c r="H63" s="3">
        <f t="shared" si="3"/>
        <v>93.58</v>
      </c>
      <c r="I63" s="3">
        <f t="shared" si="4"/>
        <v>92.833333333333343</v>
      </c>
      <c r="J63" s="3">
        <f t="shared" si="5"/>
        <v>92.054166666666674</v>
      </c>
    </row>
    <row r="64" spans="1:10" x14ac:dyDescent="0.2">
      <c r="A64" s="9">
        <v>43891</v>
      </c>
      <c r="B64" s="3">
        <v>95.71</v>
      </c>
      <c r="C64" s="3">
        <f t="shared" si="0"/>
        <v>0.35999999999999943</v>
      </c>
      <c r="D64" s="7">
        <f t="shared" si="1"/>
        <v>3.7755637126375419E-3</v>
      </c>
      <c r="E64" s="3">
        <f t="shared" si="6"/>
        <v>6.9499999999999886</v>
      </c>
      <c r="F64" s="7">
        <f t="shared" si="7"/>
        <v>7.8301036502929078E-2</v>
      </c>
      <c r="G64" s="3">
        <f t="shared" si="2"/>
        <v>95.336666666666659</v>
      </c>
      <c r="H64" s="3">
        <f t="shared" si="3"/>
        <v>94.263333333333335</v>
      </c>
      <c r="I64" s="3">
        <f t="shared" si="4"/>
        <v>93.366666666666688</v>
      </c>
      <c r="J64" s="3">
        <f t="shared" si="5"/>
        <v>92.63333333333334</v>
      </c>
    </row>
    <row r="65" spans="1:10" x14ac:dyDescent="0.2">
      <c r="A65" s="9">
        <v>43922</v>
      </c>
      <c r="B65" s="3">
        <v>96.82</v>
      </c>
      <c r="C65" s="3">
        <f t="shared" si="0"/>
        <v>1.1099999999999994</v>
      </c>
      <c r="D65" s="7">
        <f t="shared" si="1"/>
        <v>1.1597534217949956E-2</v>
      </c>
      <c r="E65" s="3">
        <f t="shared" si="6"/>
        <v>7.3099999999999881</v>
      </c>
      <c r="F65" s="7">
        <f t="shared" si="7"/>
        <v>8.1666852865601491E-2</v>
      </c>
      <c r="G65" s="3">
        <f t="shared" si="2"/>
        <v>95.96</v>
      </c>
      <c r="H65" s="3">
        <f t="shared" si="3"/>
        <v>94.993333333333325</v>
      </c>
      <c r="I65" s="3">
        <f t="shared" si="4"/>
        <v>93.958888888888907</v>
      </c>
      <c r="J65" s="3">
        <f t="shared" si="5"/>
        <v>93.242500000000021</v>
      </c>
    </row>
    <row r="66" spans="1:10" x14ac:dyDescent="0.2">
      <c r="A66" s="9">
        <v>43952</v>
      </c>
      <c r="B66" s="3">
        <v>97.1</v>
      </c>
      <c r="C66" s="3">
        <f t="shared" si="0"/>
        <v>0.28000000000000114</v>
      </c>
      <c r="D66" s="7">
        <f t="shared" si="1"/>
        <v>2.8919644701508318E-3</v>
      </c>
      <c r="E66" s="3">
        <f t="shared" si="6"/>
        <v>6.2199999999999989</v>
      </c>
      <c r="F66" s="7">
        <f t="shared" si="7"/>
        <v>6.8441901408450745E-2</v>
      </c>
      <c r="G66" s="3">
        <f t="shared" si="2"/>
        <v>96.543333333333337</v>
      </c>
      <c r="H66" s="3">
        <f t="shared" si="3"/>
        <v>95.646666666666661</v>
      </c>
      <c r="I66" s="3">
        <f t="shared" si="4"/>
        <v>94.567777777777778</v>
      </c>
      <c r="J66" s="3">
        <f t="shared" si="5"/>
        <v>93.760833333333338</v>
      </c>
    </row>
    <row r="67" spans="1:10" x14ac:dyDescent="0.2">
      <c r="A67" s="9">
        <v>43983</v>
      </c>
      <c r="B67" s="3">
        <v>97.01</v>
      </c>
      <c r="C67" s="3">
        <f t="shared" si="0"/>
        <v>-8.99999999999892E-2</v>
      </c>
      <c r="D67" s="7">
        <f t="shared" si="1"/>
        <v>-9.2687950566416877E-4</v>
      </c>
      <c r="E67" s="3">
        <f t="shared" si="6"/>
        <v>6.1000000000000085</v>
      </c>
      <c r="F67" s="7">
        <f t="shared" si="7"/>
        <v>6.7099329006710118E-2</v>
      </c>
      <c r="G67" s="3">
        <f t="shared" si="2"/>
        <v>96.976666666666674</v>
      </c>
      <c r="H67" s="3">
        <f t="shared" si="3"/>
        <v>96.156666666666652</v>
      </c>
      <c r="I67" s="3">
        <f t="shared" si="4"/>
        <v>95.167777777777786</v>
      </c>
      <c r="J67" s="3">
        <f t="shared" si="5"/>
        <v>94.269166666666663</v>
      </c>
    </row>
    <row r="68" spans="1:10" x14ac:dyDescent="0.2">
      <c r="A68" s="9">
        <v>44013</v>
      </c>
      <c r="B68" s="3">
        <v>97.73</v>
      </c>
      <c r="C68" s="3">
        <f t="shared" ref="C68:C131" si="8">B68-B67</f>
        <v>0.71999999999999886</v>
      </c>
      <c r="D68" s="7">
        <f t="shared" ref="D68:D131" si="9">B68/B67-1</f>
        <v>7.4219152664674048E-3</v>
      </c>
      <c r="E68" s="3">
        <f t="shared" si="6"/>
        <v>6.2400000000000091</v>
      </c>
      <c r="F68" s="7">
        <f t="shared" si="7"/>
        <v>6.8204175319707128E-2</v>
      </c>
      <c r="G68" s="3">
        <f t="shared" si="2"/>
        <v>97.280000000000015</v>
      </c>
      <c r="H68" s="3">
        <f t="shared" si="3"/>
        <v>96.62</v>
      </c>
      <c r="I68" s="3">
        <f t="shared" si="4"/>
        <v>95.755555555555546</v>
      </c>
      <c r="J68" s="3">
        <f t="shared" si="5"/>
        <v>94.789166666666688</v>
      </c>
    </row>
    <row r="69" spans="1:10" x14ac:dyDescent="0.2">
      <c r="A69" s="9">
        <v>44044</v>
      </c>
      <c r="B69" s="3">
        <v>99.48</v>
      </c>
      <c r="C69" s="3">
        <f t="shared" si="8"/>
        <v>1.75</v>
      </c>
      <c r="D69" s="7">
        <f t="shared" si="9"/>
        <v>1.7906477028547974E-2</v>
      </c>
      <c r="E69" s="3">
        <f t="shared" si="6"/>
        <v>7.8599999999999994</v>
      </c>
      <c r="F69" s="7">
        <f t="shared" si="7"/>
        <v>8.5789129011133003E-2</v>
      </c>
      <c r="G69" s="3">
        <f t="shared" ref="G69:G132" si="10">AVERAGE(B67:B69)</f>
        <v>98.073333333333338</v>
      </c>
      <c r="H69" s="3">
        <f t="shared" si="3"/>
        <v>97.308333333333337</v>
      </c>
      <c r="I69" s="3">
        <f t="shared" si="4"/>
        <v>96.455555555555563</v>
      </c>
      <c r="J69" s="3">
        <f t="shared" si="5"/>
        <v>95.444166666666661</v>
      </c>
    </row>
    <row r="70" spans="1:10" x14ac:dyDescent="0.2">
      <c r="A70" s="9">
        <v>44075</v>
      </c>
      <c r="B70" s="3">
        <v>101.51</v>
      </c>
      <c r="C70" s="3">
        <f t="shared" si="8"/>
        <v>2.0300000000000011</v>
      </c>
      <c r="D70" s="7">
        <f t="shared" si="9"/>
        <v>2.0406111781262615E-2</v>
      </c>
      <c r="E70" s="3">
        <f t="shared" si="6"/>
        <v>9.9000000000000057</v>
      </c>
      <c r="F70" s="7">
        <f t="shared" si="7"/>
        <v>0.10806680493395926</v>
      </c>
      <c r="G70" s="3">
        <f t="shared" si="10"/>
        <v>99.573333333333338</v>
      </c>
      <c r="H70" s="3">
        <f t="shared" si="3"/>
        <v>98.27500000000002</v>
      </c>
      <c r="I70" s="3">
        <f t="shared" si="4"/>
        <v>97.295555555555552</v>
      </c>
      <c r="J70" s="3">
        <f t="shared" si="5"/>
        <v>96.269166666666663</v>
      </c>
    </row>
    <row r="71" spans="1:10" x14ac:dyDescent="0.2">
      <c r="A71" s="9">
        <v>44105</v>
      </c>
      <c r="B71" s="3">
        <v>104.9</v>
      </c>
      <c r="C71" s="3">
        <f t="shared" si="8"/>
        <v>3.3900000000000006</v>
      </c>
      <c r="D71" s="7">
        <f t="shared" si="9"/>
        <v>3.3395724559156736E-2</v>
      </c>
      <c r="E71" s="3">
        <f t="shared" si="6"/>
        <v>12.460000000000008</v>
      </c>
      <c r="F71" s="7">
        <f t="shared" si="7"/>
        <v>0.13479013414106467</v>
      </c>
      <c r="G71" s="3">
        <f t="shared" si="10"/>
        <v>101.96333333333332</v>
      </c>
      <c r="H71" s="3">
        <f t="shared" si="3"/>
        <v>99.62166666666667</v>
      </c>
      <c r="I71" s="3">
        <f t="shared" si="4"/>
        <v>98.401111111111106</v>
      </c>
      <c r="J71" s="3">
        <f t="shared" si="5"/>
        <v>97.307500000000005</v>
      </c>
    </row>
    <row r="72" spans="1:10" x14ac:dyDescent="0.2">
      <c r="A72" s="9">
        <v>44136</v>
      </c>
      <c r="B72" s="3">
        <v>108.43</v>
      </c>
      <c r="C72" s="3">
        <f t="shared" si="8"/>
        <v>3.5300000000000011</v>
      </c>
      <c r="D72" s="7">
        <f t="shared" si="9"/>
        <v>3.3651096282173443E-2</v>
      </c>
      <c r="E72" s="3">
        <f t="shared" si="6"/>
        <v>15.25</v>
      </c>
      <c r="F72" s="7">
        <f t="shared" si="7"/>
        <v>0.16366172998497541</v>
      </c>
      <c r="G72" s="3">
        <f t="shared" si="10"/>
        <v>104.94666666666667</v>
      </c>
      <c r="H72" s="3">
        <f t="shared" ref="H72:H135" si="11">AVERAGE(B67:B72)</f>
        <v>101.50999999999999</v>
      </c>
      <c r="I72" s="3">
        <f t="shared" si="4"/>
        <v>99.854444444444454</v>
      </c>
      <c r="J72" s="3">
        <f t="shared" si="5"/>
        <v>98.578333333333333</v>
      </c>
    </row>
    <row r="73" spans="1:10" x14ac:dyDescent="0.2">
      <c r="A73" s="9">
        <v>44166</v>
      </c>
      <c r="B73" s="3">
        <v>111.02</v>
      </c>
      <c r="C73" s="3">
        <f t="shared" si="8"/>
        <v>2.5899999999999892</v>
      </c>
      <c r="D73" s="7">
        <f t="shared" si="9"/>
        <v>2.3886378308586087E-2</v>
      </c>
      <c r="E73" s="3">
        <f t="shared" si="6"/>
        <v>17.069999999999993</v>
      </c>
      <c r="F73" s="7">
        <f t="shared" si="7"/>
        <v>0.18169238956891953</v>
      </c>
      <c r="G73" s="3">
        <f t="shared" si="10"/>
        <v>108.11666666666667</v>
      </c>
      <c r="H73" s="3">
        <f t="shared" si="11"/>
        <v>103.84499999999998</v>
      </c>
      <c r="I73" s="3">
        <f t="shared" si="4"/>
        <v>101.55555555555556</v>
      </c>
      <c r="J73" s="3">
        <f t="shared" si="5"/>
        <v>100.00083333333333</v>
      </c>
    </row>
    <row r="74" spans="1:10" x14ac:dyDescent="0.2">
      <c r="A74" s="9">
        <v>44197</v>
      </c>
      <c r="B74" s="3">
        <v>113.97</v>
      </c>
      <c r="C74" s="3">
        <f t="shared" si="8"/>
        <v>2.9500000000000028</v>
      </c>
      <c r="D74" s="7">
        <f t="shared" si="9"/>
        <v>2.6571788866870838E-2</v>
      </c>
      <c r="E74" s="3">
        <f t="shared" si="6"/>
        <v>19.019999999999996</v>
      </c>
      <c r="F74" s="7">
        <f t="shared" si="7"/>
        <v>0.20031595576619265</v>
      </c>
      <c r="G74" s="3">
        <f t="shared" si="10"/>
        <v>111.13999999999999</v>
      </c>
      <c r="H74" s="3">
        <f t="shared" si="11"/>
        <v>106.55166666666668</v>
      </c>
      <c r="I74" s="3">
        <f t="shared" si="4"/>
        <v>103.46111111111112</v>
      </c>
      <c r="J74" s="3">
        <f t="shared" si="5"/>
        <v>101.58583333333333</v>
      </c>
    </row>
    <row r="75" spans="1:10" x14ac:dyDescent="0.2">
      <c r="A75" s="9">
        <v>44228</v>
      </c>
      <c r="B75" s="3">
        <v>115.91</v>
      </c>
      <c r="C75" s="3">
        <f t="shared" si="8"/>
        <v>1.9399999999999977</v>
      </c>
      <c r="D75" s="7">
        <f t="shared" si="9"/>
        <v>1.7022023339475334E-2</v>
      </c>
      <c r="E75" s="3">
        <f t="shared" si="6"/>
        <v>20.560000000000002</v>
      </c>
      <c r="F75" s="7">
        <f t="shared" si="7"/>
        <v>0.21562663869952803</v>
      </c>
      <c r="G75" s="3">
        <f t="shared" si="10"/>
        <v>113.63333333333333</v>
      </c>
      <c r="H75" s="3">
        <f t="shared" si="11"/>
        <v>109.29</v>
      </c>
      <c r="I75" s="3">
        <f t="shared" ref="I75:I136" si="12">AVERAGE(B67:B75)</f>
        <v>105.5511111111111</v>
      </c>
      <c r="J75" s="3">
        <f t="shared" si="5"/>
        <v>103.29916666666668</v>
      </c>
    </row>
    <row r="76" spans="1:10" x14ac:dyDescent="0.2">
      <c r="A76" s="9">
        <v>44256</v>
      </c>
      <c r="B76" s="3">
        <v>117.63</v>
      </c>
      <c r="C76" s="3">
        <f t="shared" si="8"/>
        <v>1.7199999999999989</v>
      </c>
      <c r="D76" s="7">
        <f t="shared" si="9"/>
        <v>1.483909930118199E-2</v>
      </c>
      <c r="E76" s="3">
        <f t="shared" si="6"/>
        <v>21.92</v>
      </c>
      <c r="F76" s="7">
        <f t="shared" si="7"/>
        <v>0.22902518023195073</v>
      </c>
      <c r="G76" s="3">
        <f t="shared" si="10"/>
        <v>115.83666666666666</v>
      </c>
      <c r="H76" s="3">
        <f t="shared" si="11"/>
        <v>111.97666666666667</v>
      </c>
      <c r="I76" s="3">
        <f t="shared" si="12"/>
        <v>107.84222222222222</v>
      </c>
      <c r="J76" s="3">
        <f t="shared" si="5"/>
        <v>105.12583333333335</v>
      </c>
    </row>
    <row r="77" spans="1:10" x14ac:dyDescent="0.2">
      <c r="A77" s="9">
        <v>44287</v>
      </c>
      <c r="B77" s="3">
        <v>120.26</v>
      </c>
      <c r="C77" s="3">
        <f t="shared" si="8"/>
        <v>2.6300000000000097</v>
      </c>
      <c r="D77" s="7">
        <f t="shared" si="9"/>
        <v>2.2358241945082069E-2</v>
      </c>
      <c r="E77" s="3">
        <f t="shared" si="6"/>
        <v>23.440000000000012</v>
      </c>
      <c r="F77" s="7">
        <f t="shared" si="7"/>
        <v>0.24209873992976672</v>
      </c>
      <c r="G77" s="3">
        <f t="shared" si="10"/>
        <v>117.93333333333334</v>
      </c>
      <c r="H77" s="3">
        <f t="shared" si="11"/>
        <v>114.53666666666665</v>
      </c>
      <c r="I77" s="3">
        <f t="shared" si="12"/>
        <v>110.34555555555556</v>
      </c>
      <c r="J77" s="3">
        <f t="shared" si="5"/>
        <v>107.07916666666667</v>
      </c>
    </row>
    <row r="78" spans="1:10" x14ac:dyDescent="0.2">
      <c r="A78" s="9">
        <v>44317</v>
      </c>
      <c r="B78" s="3">
        <v>123.64</v>
      </c>
      <c r="C78" s="3">
        <f t="shared" si="8"/>
        <v>3.3799999999999955</v>
      </c>
      <c r="D78" s="7">
        <f t="shared" si="9"/>
        <v>2.8105770829868648E-2</v>
      </c>
      <c r="E78" s="3">
        <f t="shared" si="6"/>
        <v>26.540000000000006</v>
      </c>
      <c r="F78" s="7">
        <f t="shared" si="7"/>
        <v>0.2733264675592173</v>
      </c>
      <c r="G78" s="3">
        <f t="shared" si="10"/>
        <v>120.50999999999999</v>
      </c>
      <c r="H78" s="3">
        <f t="shared" si="11"/>
        <v>117.07166666666666</v>
      </c>
      <c r="I78" s="3">
        <f t="shared" si="12"/>
        <v>113.03</v>
      </c>
      <c r="J78" s="3">
        <f t="shared" ref="J78:J136" si="13">AVERAGE(B67:B78)</f>
        <v>109.29083333333334</v>
      </c>
    </row>
    <row r="79" spans="1:10" x14ac:dyDescent="0.2">
      <c r="A79" s="9">
        <v>44348</v>
      </c>
      <c r="B79" s="3">
        <v>128.66999999999999</v>
      </c>
      <c r="C79" s="3">
        <f t="shared" si="8"/>
        <v>5.0299999999999869</v>
      </c>
      <c r="D79" s="7">
        <f t="shared" si="9"/>
        <v>4.0682626981559222E-2</v>
      </c>
      <c r="E79" s="3">
        <f t="shared" ref="E79:E136" si="14">B79-B67</f>
        <v>31.659999999999982</v>
      </c>
      <c r="F79" s="7">
        <f t="shared" ref="F79:F136" si="15">B79/B67-1</f>
        <v>0.32635810741160687</v>
      </c>
      <c r="G79" s="3">
        <f t="shared" si="10"/>
        <v>124.19</v>
      </c>
      <c r="H79" s="3">
        <f t="shared" si="11"/>
        <v>120.01333333333332</v>
      </c>
      <c r="I79" s="3">
        <f t="shared" si="12"/>
        <v>116.04777777777778</v>
      </c>
      <c r="J79" s="3">
        <f t="shared" si="13"/>
        <v>111.92916666666667</v>
      </c>
    </row>
    <row r="80" spans="1:10" x14ac:dyDescent="0.2">
      <c r="A80" s="9">
        <v>44378</v>
      </c>
      <c r="B80" s="3">
        <v>132.57</v>
      </c>
      <c r="C80" s="3">
        <f t="shared" si="8"/>
        <v>3.9000000000000057</v>
      </c>
      <c r="D80" s="7">
        <f t="shared" si="9"/>
        <v>3.0310095593378383E-2</v>
      </c>
      <c r="E80" s="3">
        <f t="shared" si="14"/>
        <v>34.839999999999989</v>
      </c>
      <c r="F80" s="7">
        <f t="shared" si="15"/>
        <v>0.35649237695692193</v>
      </c>
      <c r="G80" s="3">
        <f t="shared" si="10"/>
        <v>128.29333333333332</v>
      </c>
      <c r="H80" s="3">
        <f t="shared" si="11"/>
        <v>123.11333333333334</v>
      </c>
      <c r="I80" s="3">
        <f t="shared" si="12"/>
        <v>119.12222222222221</v>
      </c>
      <c r="J80" s="3">
        <f t="shared" si="13"/>
        <v>114.8325</v>
      </c>
    </row>
    <row r="81" spans="1:10" x14ac:dyDescent="0.2">
      <c r="A81" s="9">
        <v>44409</v>
      </c>
      <c r="B81" s="3">
        <v>134.18</v>
      </c>
      <c r="C81" s="3">
        <f t="shared" si="8"/>
        <v>1.6100000000000136</v>
      </c>
      <c r="D81" s="7">
        <f t="shared" si="9"/>
        <v>1.2144527419476692E-2</v>
      </c>
      <c r="E81" s="3">
        <f t="shared" si="14"/>
        <v>34.700000000000003</v>
      </c>
      <c r="F81" s="7">
        <f t="shared" si="15"/>
        <v>0.34881383192601523</v>
      </c>
      <c r="G81" s="3">
        <f t="shared" si="10"/>
        <v>131.80666666666667</v>
      </c>
      <c r="H81" s="3">
        <f t="shared" si="11"/>
        <v>126.15833333333335</v>
      </c>
      <c r="I81" s="3">
        <f t="shared" si="12"/>
        <v>121.98333333333332</v>
      </c>
      <c r="J81" s="3">
        <f t="shared" si="13"/>
        <v>117.72416666666668</v>
      </c>
    </row>
    <row r="82" spans="1:10" x14ac:dyDescent="0.2">
      <c r="A82" s="9">
        <v>44440</v>
      </c>
      <c r="B82" s="3">
        <v>136.94999999999999</v>
      </c>
      <c r="C82" s="3">
        <f t="shared" si="8"/>
        <v>2.7699999999999818</v>
      </c>
      <c r="D82" s="7">
        <f t="shared" si="9"/>
        <v>2.0643911164107687E-2</v>
      </c>
      <c r="E82" s="3">
        <f t="shared" si="14"/>
        <v>35.439999999999984</v>
      </c>
      <c r="F82" s="7">
        <f t="shared" si="15"/>
        <v>0.34912816471283592</v>
      </c>
      <c r="G82" s="3">
        <f t="shared" si="10"/>
        <v>134.56666666666666</v>
      </c>
      <c r="H82" s="3">
        <f t="shared" si="11"/>
        <v>129.37833333333333</v>
      </c>
      <c r="I82" s="3">
        <f t="shared" si="12"/>
        <v>124.86444444444444</v>
      </c>
      <c r="J82" s="3">
        <f t="shared" si="13"/>
        <v>120.67750000000001</v>
      </c>
    </row>
    <row r="83" spans="1:10" x14ac:dyDescent="0.2">
      <c r="A83" s="9">
        <v>44470</v>
      </c>
      <c r="B83" s="3">
        <v>144.86000000000001</v>
      </c>
      <c r="C83" s="3">
        <f t="shared" si="8"/>
        <v>7.910000000000025</v>
      </c>
      <c r="D83" s="7">
        <f t="shared" si="9"/>
        <v>5.7758305951077116E-2</v>
      </c>
      <c r="E83" s="3">
        <f t="shared" si="14"/>
        <v>39.960000000000008</v>
      </c>
      <c r="F83" s="7">
        <f t="shared" si="15"/>
        <v>0.38093422306959024</v>
      </c>
      <c r="G83" s="3">
        <f t="shared" si="10"/>
        <v>138.66333333333333</v>
      </c>
      <c r="H83" s="3">
        <f t="shared" si="11"/>
        <v>133.47833333333332</v>
      </c>
      <c r="I83" s="3">
        <f t="shared" si="12"/>
        <v>128.29666666666668</v>
      </c>
      <c r="J83" s="3">
        <f t="shared" si="13"/>
        <v>124.00750000000001</v>
      </c>
    </row>
    <row r="84" spans="1:10" x14ac:dyDescent="0.2">
      <c r="A84" s="9">
        <v>44501</v>
      </c>
      <c r="B84" s="3">
        <v>159.56</v>
      </c>
      <c r="C84" s="3">
        <f t="shared" si="8"/>
        <v>14.699999999999989</v>
      </c>
      <c r="D84" s="7">
        <f t="shared" si="9"/>
        <v>0.10147728841640191</v>
      </c>
      <c r="E84" s="3">
        <f t="shared" si="14"/>
        <v>51.129999999999995</v>
      </c>
      <c r="F84" s="7">
        <f t="shared" si="15"/>
        <v>0.47154846444710863</v>
      </c>
      <c r="G84" s="3">
        <f t="shared" si="10"/>
        <v>147.12333333333333</v>
      </c>
      <c r="H84" s="3">
        <f t="shared" si="11"/>
        <v>139.465</v>
      </c>
      <c r="I84" s="3">
        <f t="shared" si="12"/>
        <v>133.14666666666668</v>
      </c>
      <c r="J84" s="3">
        <f t="shared" si="13"/>
        <v>128.26833333333332</v>
      </c>
    </row>
    <row r="85" spans="1:10" x14ac:dyDescent="0.2">
      <c r="A85" s="9">
        <v>44531</v>
      </c>
      <c r="B85" s="3">
        <v>182.51</v>
      </c>
      <c r="C85" s="3">
        <f t="shared" si="8"/>
        <v>22.949999999999989</v>
      </c>
      <c r="D85" s="7">
        <f t="shared" si="9"/>
        <v>0.14383304086237136</v>
      </c>
      <c r="E85" s="3">
        <f t="shared" si="14"/>
        <v>71.489999999999995</v>
      </c>
      <c r="F85" s="7">
        <f t="shared" si="15"/>
        <v>0.64393802918393073</v>
      </c>
      <c r="G85" s="3">
        <f t="shared" si="10"/>
        <v>162.31</v>
      </c>
      <c r="H85" s="3">
        <f t="shared" si="11"/>
        <v>148.4383333333333</v>
      </c>
      <c r="I85" s="3">
        <f t="shared" si="12"/>
        <v>140.35555555555555</v>
      </c>
      <c r="J85" s="3">
        <f t="shared" si="13"/>
        <v>134.22583333333333</v>
      </c>
    </row>
    <row r="86" spans="1:10" x14ac:dyDescent="0.2">
      <c r="A86" s="9">
        <v>44562</v>
      </c>
      <c r="B86" s="3">
        <v>206.69</v>
      </c>
      <c r="C86" s="3">
        <f t="shared" si="8"/>
        <v>24.180000000000007</v>
      </c>
      <c r="D86" s="7">
        <f t="shared" si="9"/>
        <v>0.13248589118404475</v>
      </c>
      <c r="E86" s="3">
        <f t="shared" si="14"/>
        <v>92.72</v>
      </c>
      <c r="F86" s="7">
        <f t="shared" si="15"/>
        <v>0.81354742476090203</v>
      </c>
      <c r="G86" s="3">
        <f t="shared" si="10"/>
        <v>182.92</v>
      </c>
      <c r="H86" s="3">
        <f t="shared" si="11"/>
        <v>160.79166666666666</v>
      </c>
      <c r="I86" s="3">
        <f t="shared" si="12"/>
        <v>149.95888888888891</v>
      </c>
      <c r="J86" s="3">
        <f t="shared" si="13"/>
        <v>141.95250000000001</v>
      </c>
    </row>
    <row r="87" spans="1:10" x14ac:dyDescent="0.2">
      <c r="A87" s="9">
        <v>44593</v>
      </c>
      <c r="B87" s="3">
        <v>225.41</v>
      </c>
      <c r="C87" s="3">
        <f t="shared" si="8"/>
        <v>18.72</v>
      </c>
      <c r="D87" s="7">
        <f t="shared" si="9"/>
        <v>9.0570419468769758E-2</v>
      </c>
      <c r="E87" s="3">
        <f t="shared" si="14"/>
        <v>109.5</v>
      </c>
      <c r="F87" s="7">
        <f t="shared" si="15"/>
        <v>0.94469847295315335</v>
      </c>
      <c r="G87" s="3">
        <f t="shared" si="10"/>
        <v>204.87</v>
      </c>
      <c r="H87" s="3">
        <f t="shared" si="11"/>
        <v>175.99666666666667</v>
      </c>
      <c r="I87" s="3">
        <f t="shared" si="12"/>
        <v>161.26666666666668</v>
      </c>
      <c r="J87" s="3">
        <f t="shared" si="13"/>
        <v>151.07750000000001</v>
      </c>
    </row>
    <row r="88" spans="1:10" x14ac:dyDescent="0.2">
      <c r="A88" s="9">
        <v>44621</v>
      </c>
      <c r="B88" s="3">
        <v>254.12</v>
      </c>
      <c r="C88" s="3">
        <f t="shared" si="8"/>
        <v>28.710000000000008</v>
      </c>
      <c r="D88" s="7">
        <f t="shared" si="9"/>
        <v>0.12736790736879477</v>
      </c>
      <c r="E88" s="3">
        <f t="shared" si="14"/>
        <v>136.49</v>
      </c>
      <c r="F88" s="7">
        <f t="shared" si="15"/>
        <v>1.1603332483210065</v>
      </c>
      <c r="G88" s="3">
        <f t="shared" si="10"/>
        <v>228.74</v>
      </c>
      <c r="H88" s="3">
        <f t="shared" si="11"/>
        <v>195.52500000000001</v>
      </c>
      <c r="I88" s="3">
        <f t="shared" si="12"/>
        <v>175.20555555555555</v>
      </c>
      <c r="J88" s="3">
        <f t="shared" si="13"/>
        <v>162.45166666666668</v>
      </c>
    </row>
    <row r="89" spans="1:10" x14ac:dyDescent="0.2">
      <c r="A89" s="9">
        <v>44652</v>
      </c>
      <c r="B89" s="3">
        <v>272.79000000000002</v>
      </c>
      <c r="C89" s="3">
        <f t="shared" si="8"/>
        <v>18.670000000000016</v>
      </c>
      <c r="D89" s="7">
        <f t="shared" si="9"/>
        <v>7.3469227136785831E-2</v>
      </c>
      <c r="E89" s="3">
        <f t="shared" si="14"/>
        <v>152.53000000000003</v>
      </c>
      <c r="F89" s="7">
        <f t="shared" si="15"/>
        <v>1.2683352735739231</v>
      </c>
      <c r="G89" s="3">
        <f t="shared" si="10"/>
        <v>250.77333333333331</v>
      </c>
      <c r="H89" s="3">
        <f t="shared" si="11"/>
        <v>216.84666666666666</v>
      </c>
      <c r="I89" s="3">
        <f t="shared" si="12"/>
        <v>190.78555555555556</v>
      </c>
      <c r="J89" s="3">
        <f t="shared" si="13"/>
        <v>175.16250000000002</v>
      </c>
    </row>
    <row r="90" spans="1:10" x14ac:dyDescent="0.2">
      <c r="A90" s="9">
        <v>44682</v>
      </c>
      <c r="B90" s="3">
        <v>286.87</v>
      </c>
      <c r="C90" s="3">
        <f t="shared" si="8"/>
        <v>14.079999999999984</v>
      </c>
      <c r="D90" s="7">
        <f t="shared" si="9"/>
        <v>5.1614795263756008E-2</v>
      </c>
      <c r="E90" s="3">
        <f t="shared" si="14"/>
        <v>163.23000000000002</v>
      </c>
      <c r="F90" s="7">
        <f t="shared" si="15"/>
        <v>1.3202038175347783</v>
      </c>
      <c r="G90" s="3">
        <f t="shared" si="10"/>
        <v>271.26000000000005</v>
      </c>
      <c r="H90" s="3">
        <f t="shared" si="11"/>
        <v>238.06499999999997</v>
      </c>
      <c r="I90" s="3">
        <f t="shared" si="12"/>
        <v>207.75111111111107</v>
      </c>
      <c r="J90" s="3">
        <f t="shared" si="13"/>
        <v>188.76499999999999</v>
      </c>
    </row>
    <row r="91" spans="1:10" x14ac:dyDescent="0.2">
      <c r="A91" s="9">
        <v>44713</v>
      </c>
      <c r="B91" s="3">
        <v>309.77999999999997</v>
      </c>
      <c r="C91" s="3">
        <f t="shared" si="8"/>
        <v>22.909999999999968</v>
      </c>
      <c r="D91" s="7">
        <f t="shared" si="9"/>
        <v>7.9861958378359521E-2</v>
      </c>
      <c r="E91" s="3">
        <f t="shared" si="14"/>
        <v>181.10999999999999</v>
      </c>
      <c r="F91" s="7">
        <f t="shared" si="15"/>
        <v>1.407554208440196</v>
      </c>
      <c r="G91" s="3">
        <f t="shared" si="10"/>
        <v>289.81333333333333</v>
      </c>
      <c r="H91" s="3">
        <f t="shared" si="11"/>
        <v>259.2766666666667</v>
      </c>
      <c r="I91" s="3">
        <f t="shared" si="12"/>
        <v>226.95444444444445</v>
      </c>
      <c r="J91" s="3">
        <f t="shared" si="13"/>
        <v>203.85749999999999</v>
      </c>
    </row>
    <row r="92" spans="1:10" x14ac:dyDescent="0.2">
      <c r="A92" s="9">
        <v>44743</v>
      </c>
      <c r="B92" s="3">
        <v>315.73</v>
      </c>
      <c r="C92" s="3">
        <f t="shared" si="8"/>
        <v>5.9500000000000455</v>
      </c>
      <c r="D92" s="7">
        <f t="shared" si="9"/>
        <v>1.9207179288527554E-2</v>
      </c>
      <c r="E92" s="3">
        <f t="shared" si="14"/>
        <v>183.16000000000003</v>
      </c>
      <c r="F92" s="7">
        <f t="shared" si="15"/>
        <v>1.381609715621936</v>
      </c>
      <c r="G92" s="3">
        <f t="shared" si="10"/>
        <v>304.12666666666667</v>
      </c>
      <c r="H92" s="3">
        <f t="shared" si="11"/>
        <v>277.45</v>
      </c>
      <c r="I92" s="3">
        <f t="shared" si="12"/>
        <v>245.94</v>
      </c>
      <c r="J92" s="3">
        <f t="shared" si="13"/>
        <v>219.12083333333337</v>
      </c>
    </row>
    <row r="93" spans="1:10" x14ac:dyDescent="0.2">
      <c r="A93" s="9">
        <v>44774</v>
      </c>
      <c r="B93" s="3">
        <v>323.02</v>
      </c>
      <c r="C93" s="3">
        <f t="shared" si="8"/>
        <v>7.2899999999999636</v>
      </c>
      <c r="D93" s="7">
        <f t="shared" si="9"/>
        <v>2.3089348493966266E-2</v>
      </c>
      <c r="E93" s="3">
        <f t="shared" si="14"/>
        <v>188.83999999999997</v>
      </c>
      <c r="F93" s="7">
        <f t="shared" si="15"/>
        <v>1.4073632434043821</v>
      </c>
      <c r="G93" s="3">
        <f t="shared" si="10"/>
        <v>316.17666666666668</v>
      </c>
      <c r="H93" s="3">
        <f t="shared" si="11"/>
        <v>293.71833333333331</v>
      </c>
      <c r="I93" s="3">
        <f t="shared" si="12"/>
        <v>264.10222222222217</v>
      </c>
      <c r="J93" s="3">
        <f t="shared" si="13"/>
        <v>234.85749999999999</v>
      </c>
    </row>
    <row r="94" spans="1:10" x14ac:dyDescent="0.2">
      <c r="A94" s="9">
        <v>44805</v>
      </c>
      <c r="B94" s="3">
        <v>335.3</v>
      </c>
      <c r="C94" s="3">
        <f t="shared" si="8"/>
        <v>12.28000000000003</v>
      </c>
      <c r="D94" s="7">
        <f t="shared" si="9"/>
        <v>3.801622190576448E-2</v>
      </c>
      <c r="E94" s="3">
        <f t="shared" si="14"/>
        <v>198.35000000000002</v>
      </c>
      <c r="F94" s="7">
        <f t="shared" si="15"/>
        <v>1.4483388097845933</v>
      </c>
      <c r="G94" s="3">
        <f t="shared" si="10"/>
        <v>324.68333333333334</v>
      </c>
      <c r="H94" s="3">
        <f t="shared" si="11"/>
        <v>307.24833333333333</v>
      </c>
      <c r="I94" s="3">
        <f t="shared" si="12"/>
        <v>281.07888888888891</v>
      </c>
      <c r="J94" s="3">
        <f t="shared" si="13"/>
        <v>251.38666666666666</v>
      </c>
    </row>
    <row r="95" spans="1:10" x14ac:dyDescent="0.2">
      <c r="A95" s="9">
        <v>44835</v>
      </c>
      <c r="B95" s="3">
        <v>344.56</v>
      </c>
      <c r="C95" s="3">
        <f t="shared" si="8"/>
        <v>9.2599999999999909</v>
      </c>
      <c r="D95" s="7">
        <f t="shared" si="9"/>
        <v>2.7617059349835937E-2</v>
      </c>
      <c r="E95" s="3">
        <f t="shared" si="14"/>
        <v>199.7</v>
      </c>
      <c r="F95" s="7">
        <f t="shared" si="15"/>
        <v>1.3785724147452711</v>
      </c>
      <c r="G95" s="3">
        <f t="shared" si="10"/>
        <v>334.29333333333329</v>
      </c>
      <c r="H95" s="3">
        <f t="shared" si="11"/>
        <v>319.20999999999998</v>
      </c>
      <c r="I95" s="3">
        <f t="shared" si="12"/>
        <v>296.39777777777778</v>
      </c>
      <c r="J95" s="3">
        <f t="shared" si="13"/>
        <v>268.02833333333336</v>
      </c>
    </row>
    <row r="96" spans="1:10" x14ac:dyDescent="0.2">
      <c r="A96" s="9">
        <v>44866</v>
      </c>
      <c r="B96" s="3">
        <v>349.59</v>
      </c>
      <c r="C96" s="3">
        <f t="shared" si="8"/>
        <v>5.0299999999999727</v>
      </c>
      <c r="D96" s="7">
        <f t="shared" si="9"/>
        <v>1.4598328302762864E-2</v>
      </c>
      <c r="E96" s="3">
        <f t="shared" si="14"/>
        <v>190.02999999999997</v>
      </c>
      <c r="F96" s="7">
        <f t="shared" si="15"/>
        <v>1.1909626472800197</v>
      </c>
      <c r="G96" s="3">
        <f t="shared" si="10"/>
        <v>343.15000000000003</v>
      </c>
      <c r="H96" s="3">
        <f t="shared" si="11"/>
        <v>329.6633333333333</v>
      </c>
      <c r="I96" s="3">
        <f t="shared" si="12"/>
        <v>310.19555555555559</v>
      </c>
      <c r="J96" s="3">
        <f t="shared" si="13"/>
        <v>283.86416666666668</v>
      </c>
    </row>
    <row r="97" spans="1:10" x14ac:dyDescent="0.2">
      <c r="A97" s="9">
        <v>44896</v>
      </c>
      <c r="B97" s="3">
        <v>348.83</v>
      </c>
      <c r="C97" s="3">
        <f t="shared" si="8"/>
        <v>-0.75999999999999091</v>
      </c>
      <c r="D97" s="7">
        <f t="shared" si="9"/>
        <v>-2.1739752281243474E-3</v>
      </c>
      <c r="E97" s="3">
        <f t="shared" si="14"/>
        <v>166.32</v>
      </c>
      <c r="F97" s="7">
        <f t="shared" si="15"/>
        <v>0.91129253191605941</v>
      </c>
      <c r="G97" s="3">
        <f t="shared" si="10"/>
        <v>347.66</v>
      </c>
      <c r="H97" s="3">
        <f t="shared" si="11"/>
        <v>336.17166666666662</v>
      </c>
      <c r="I97" s="3">
        <f t="shared" si="12"/>
        <v>320.7188888888889</v>
      </c>
      <c r="J97" s="3">
        <f t="shared" si="13"/>
        <v>297.72416666666669</v>
      </c>
    </row>
    <row r="98" spans="1:10" x14ac:dyDescent="0.2">
      <c r="A98" s="9">
        <v>44927</v>
      </c>
      <c r="B98" s="3">
        <v>358.79</v>
      </c>
      <c r="C98" s="3">
        <f t="shared" si="8"/>
        <v>9.9600000000000364</v>
      </c>
      <c r="D98" s="7">
        <f t="shared" si="9"/>
        <v>2.8552590086861951E-2</v>
      </c>
      <c r="E98" s="3">
        <f t="shared" si="14"/>
        <v>152.10000000000002</v>
      </c>
      <c r="F98" s="7">
        <f t="shared" si="15"/>
        <v>0.73588465818375348</v>
      </c>
      <c r="G98" s="3">
        <f t="shared" si="10"/>
        <v>352.40333333333336</v>
      </c>
      <c r="H98" s="3">
        <f t="shared" si="11"/>
        <v>343.3483333333333</v>
      </c>
      <c r="I98" s="3">
        <f t="shared" si="12"/>
        <v>330.27444444444444</v>
      </c>
      <c r="J98" s="3">
        <f t="shared" si="13"/>
        <v>310.39916666666664</v>
      </c>
    </row>
    <row r="99" spans="1:10" x14ac:dyDescent="0.2">
      <c r="A99" s="9">
        <v>44958</v>
      </c>
      <c r="B99" s="3">
        <v>359.74</v>
      </c>
      <c r="C99" s="3">
        <f t="shared" si="8"/>
        <v>0.94999999999998863</v>
      </c>
      <c r="D99" s="7">
        <f t="shared" si="9"/>
        <v>2.6477883998996532E-3</v>
      </c>
      <c r="E99" s="3">
        <f t="shared" si="14"/>
        <v>134.33000000000001</v>
      </c>
      <c r="F99" s="7">
        <f t="shared" si="15"/>
        <v>0.59593629386451363</v>
      </c>
      <c r="G99" s="3">
        <f t="shared" si="10"/>
        <v>355.78666666666669</v>
      </c>
      <c r="H99" s="3">
        <f t="shared" si="11"/>
        <v>349.46833333333331</v>
      </c>
      <c r="I99" s="3">
        <f t="shared" si="12"/>
        <v>338.37111111111113</v>
      </c>
      <c r="J99" s="3">
        <f t="shared" si="13"/>
        <v>321.59333333333331</v>
      </c>
    </row>
    <row r="100" spans="1:10" x14ac:dyDescent="0.2">
      <c r="A100" s="9">
        <v>44986</v>
      </c>
      <c r="B100" s="3">
        <v>363.92</v>
      </c>
      <c r="C100" s="3">
        <f t="shared" si="8"/>
        <v>4.1800000000000068</v>
      </c>
      <c r="D100" s="7">
        <f t="shared" si="9"/>
        <v>1.1619502974370421E-2</v>
      </c>
      <c r="E100" s="3">
        <f t="shared" si="14"/>
        <v>109.80000000000001</v>
      </c>
      <c r="F100" s="7">
        <f t="shared" si="15"/>
        <v>0.43207933259877218</v>
      </c>
      <c r="G100" s="3">
        <f t="shared" si="10"/>
        <v>360.81666666666666</v>
      </c>
      <c r="H100" s="3">
        <f t="shared" si="11"/>
        <v>354.23833333333329</v>
      </c>
      <c r="I100" s="3">
        <f t="shared" si="12"/>
        <v>344.3866666666666</v>
      </c>
      <c r="J100" s="3">
        <f t="shared" si="13"/>
        <v>330.74333333333334</v>
      </c>
    </row>
    <row r="101" spans="1:10" x14ac:dyDescent="0.2">
      <c r="A101" s="9">
        <v>45017</v>
      </c>
      <c r="B101" s="3">
        <v>364.67</v>
      </c>
      <c r="C101" s="3">
        <f t="shared" si="8"/>
        <v>0.75</v>
      </c>
      <c r="D101" s="7">
        <f t="shared" si="9"/>
        <v>2.0608925038470005E-3</v>
      </c>
      <c r="E101" s="3">
        <f t="shared" si="14"/>
        <v>91.88</v>
      </c>
      <c r="F101" s="7">
        <f t="shared" si="15"/>
        <v>0.33681586568422595</v>
      </c>
      <c r="G101" s="3">
        <f t="shared" si="10"/>
        <v>362.7766666666667</v>
      </c>
      <c r="H101" s="3">
        <f t="shared" si="11"/>
        <v>357.59</v>
      </c>
      <c r="I101" s="3">
        <f t="shared" si="12"/>
        <v>349.82444444444445</v>
      </c>
      <c r="J101" s="3">
        <f t="shared" si="13"/>
        <v>338.40000000000003</v>
      </c>
    </row>
    <row r="102" spans="1:10" x14ac:dyDescent="0.2">
      <c r="A102" s="9">
        <v>45047</v>
      </c>
      <c r="B102" s="3">
        <v>365.64</v>
      </c>
      <c r="C102" s="3">
        <f t="shared" si="8"/>
        <v>0.96999999999997044</v>
      </c>
      <c r="D102" s="7">
        <f t="shared" si="9"/>
        <v>2.6599391230426317E-3</v>
      </c>
      <c r="E102" s="3">
        <f t="shared" si="14"/>
        <v>78.769999999999982</v>
      </c>
      <c r="F102" s="7">
        <f t="shared" si="15"/>
        <v>0.27458430648028709</v>
      </c>
      <c r="G102" s="3">
        <f t="shared" si="10"/>
        <v>364.74333333333334</v>
      </c>
      <c r="H102" s="3">
        <f t="shared" si="11"/>
        <v>360.26500000000004</v>
      </c>
      <c r="I102" s="3">
        <f t="shared" si="12"/>
        <v>354.56</v>
      </c>
      <c r="J102" s="3">
        <f t="shared" si="13"/>
        <v>344.9641666666667</v>
      </c>
    </row>
    <row r="103" spans="1:10" x14ac:dyDescent="0.2">
      <c r="A103" s="9">
        <v>45078</v>
      </c>
      <c r="B103" s="3">
        <v>382.85</v>
      </c>
      <c r="C103" s="3">
        <f t="shared" si="8"/>
        <v>17.210000000000036</v>
      </c>
      <c r="D103" s="7">
        <f t="shared" si="9"/>
        <v>4.7068154468876688E-2</v>
      </c>
      <c r="E103" s="3">
        <f t="shared" si="14"/>
        <v>73.07000000000005</v>
      </c>
      <c r="F103" s="7">
        <f t="shared" si="15"/>
        <v>0.23587707405255354</v>
      </c>
      <c r="G103" s="3">
        <f t="shared" si="10"/>
        <v>371.05333333333328</v>
      </c>
      <c r="H103" s="3">
        <f t="shared" si="11"/>
        <v>365.935</v>
      </c>
      <c r="I103" s="3">
        <f t="shared" si="12"/>
        <v>359.84333333333331</v>
      </c>
      <c r="J103" s="3">
        <f t="shared" si="13"/>
        <v>351.05333333333328</v>
      </c>
    </row>
    <row r="104" spans="1:10" x14ac:dyDescent="0.2">
      <c r="A104" s="9">
        <v>45108</v>
      </c>
      <c r="B104" s="3">
        <v>412.62</v>
      </c>
      <c r="C104" s="3">
        <f t="shared" si="8"/>
        <v>29.769999999999982</v>
      </c>
      <c r="D104" s="7">
        <f t="shared" si="9"/>
        <v>7.7758913412563579E-2</v>
      </c>
      <c r="E104" s="3">
        <f t="shared" si="14"/>
        <v>96.889999999999986</v>
      </c>
      <c r="F104" s="7">
        <f t="shared" si="15"/>
        <v>0.30687612833750344</v>
      </c>
      <c r="G104" s="3">
        <f t="shared" si="10"/>
        <v>387.03666666666669</v>
      </c>
      <c r="H104" s="3">
        <f t="shared" si="11"/>
        <v>374.90666666666669</v>
      </c>
      <c r="I104" s="3">
        <f t="shared" si="12"/>
        <v>367.40555555555551</v>
      </c>
      <c r="J104" s="3">
        <f t="shared" si="13"/>
        <v>359.1275</v>
      </c>
    </row>
    <row r="105" spans="1:10" x14ac:dyDescent="0.2">
      <c r="A105" s="9">
        <v>45139</v>
      </c>
      <c r="B105" s="3">
        <v>444.57</v>
      </c>
      <c r="C105" s="3">
        <f t="shared" si="8"/>
        <v>31.949999999999989</v>
      </c>
      <c r="D105" s="7">
        <f t="shared" si="9"/>
        <v>7.7432019776065175E-2</v>
      </c>
      <c r="E105" s="3">
        <f t="shared" si="14"/>
        <v>121.55000000000001</v>
      </c>
      <c r="F105" s="7">
        <f t="shared" si="15"/>
        <v>0.37629248962912509</v>
      </c>
      <c r="G105" s="3">
        <f t="shared" si="10"/>
        <v>413.34666666666664</v>
      </c>
      <c r="H105" s="3">
        <f t="shared" si="11"/>
        <v>389.04500000000002</v>
      </c>
      <c r="I105" s="3">
        <f t="shared" si="12"/>
        <v>377.95888888888891</v>
      </c>
      <c r="J105" s="3">
        <f t="shared" si="13"/>
        <v>369.25666666666666</v>
      </c>
    </row>
    <row r="106" spans="1:10" x14ac:dyDescent="0.2">
      <c r="A106" s="9">
        <v>45170</v>
      </c>
      <c r="B106" s="3">
        <v>457.3</v>
      </c>
      <c r="C106" s="3">
        <f t="shared" si="8"/>
        <v>12.730000000000018</v>
      </c>
      <c r="D106" s="7">
        <f t="shared" si="9"/>
        <v>2.86344107789549E-2</v>
      </c>
      <c r="E106" s="3">
        <f t="shared" si="14"/>
        <v>122</v>
      </c>
      <c r="F106" s="7">
        <f t="shared" si="15"/>
        <v>0.36385326573218002</v>
      </c>
      <c r="G106" s="3">
        <f t="shared" si="10"/>
        <v>438.16333333333336</v>
      </c>
      <c r="H106" s="3">
        <f t="shared" si="11"/>
        <v>404.60833333333329</v>
      </c>
      <c r="I106" s="3">
        <f t="shared" si="12"/>
        <v>390.01111111111118</v>
      </c>
      <c r="J106" s="3">
        <f t="shared" si="13"/>
        <v>379.42333333333335</v>
      </c>
    </row>
    <row r="107" spans="1:10" x14ac:dyDescent="0.2">
      <c r="A107" s="9">
        <v>45200</v>
      </c>
      <c r="B107" s="3">
        <v>467.2</v>
      </c>
      <c r="C107" s="3">
        <f t="shared" si="8"/>
        <v>9.8999999999999773</v>
      </c>
      <c r="D107" s="7">
        <f t="shared" si="9"/>
        <v>2.1648808222173521E-2</v>
      </c>
      <c r="E107" s="3">
        <f t="shared" si="14"/>
        <v>122.63999999999999</v>
      </c>
      <c r="F107" s="7">
        <f t="shared" si="15"/>
        <v>0.35593220338983045</v>
      </c>
      <c r="G107" s="3">
        <f t="shared" si="10"/>
        <v>456.35666666666663</v>
      </c>
      <c r="H107" s="3">
        <f t="shared" si="11"/>
        <v>421.69666666666666</v>
      </c>
      <c r="I107" s="3">
        <f t="shared" si="12"/>
        <v>402.05666666666667</v>
      </c>
      <c r="J107" s="3">
        <f t="shared" si="13"/>
        <v>389.64333333333326</v>
      </c>
    </row>
    <row r="108" spans="1:10" x14ac:dyDescent="0.2">
      <c r="A108" s="9">
        <v>45231</v>
      </c>
      <c r="B108" s="3">
        <v>472.6</v>
      </c>
      <c r="C108" s="3">
        <f t="shared" si="8"/>
        <v>5.4000000000000341</v>
      </c>
      <c r="D108" s="7">
        <f t="shared" si="9"/>
        <v>1.1558219178082307E-2</v>
      </c>
      <c r="E108" s="3">
        <f t="shared" si="14"/>
        <v>123.01000000000005</v>
      </c>
      <c r="F108" s="7">
        <f t="shared" si="15"/>
        <v>0.35186933264681497</v>
      </c>
      <c r="G108" s="3">
        <f t="shared" si="10"/>
        <v>465.7</v>
      </c>
      <c r="H108" s="3">
        <f t="shared" si="11"/>
        <v>439.52333333333331</v>
      </c>
      <c r="I108" s="3">
        <f t="shared" si="12"/>
        <v>414.59666666666664</v>
      </c>
      <c r="J108" s="3">
        <f t="shared" si="13"/>
        <v>399.89416666666671</v>
      </c>
    </row>
    <row r="109" spans="1:10" x14ac:dyDescent="0.2">
      <c r="A109" s="9">
        <v>45261</v>
      </c>
      <c r="B109" s="3">
        <v>484.26</v>
      </c>
      <c r="C109" s="3">
        <f t="shared" si="8"/>
        <v>11.659999999999968</v>
      </c>
      <c r="D109" s="7">
        <f t="shared" si="9"/>
        <v>2.4672027084214898E-2</v>
      </c>
      <c r="E109" s="3">
        <f t="shared" si="14"/>
        <v>135.43</v>
      </c>
      <c r="F109" s="7">
        <f t="shared" si="15"/>
        <v>0.38824069030759967</v>
      </c>
      <c r="G109" s="3">
        <f t="shared" si="10"/>
        <v>474.68666666666667</v>
      </c>
      <c r="H109" s="3">
        <f t="shared" si="11"/>
        <v>456.42500000000001</v>
      </c>
      <c r="I109" s="3">
        <f t="shared" si="12"/>
        <v>427.96777777777766</v>
      </c>
      <c r="J109" s="3">
        <f t="shared" si="13"/>
        <v>411.18000000000006</v>
      </c>
    </row>
    <row r="110" spans="1:10" x14ac:dyDescent="0.2">
      <c r="A110" s="9">
        <v>45292</v>
      </c>
      <c r="B110" s="3">
        <v>520.65</v>
      </c>
      <c r="C110" s="3">
        <f t="shared" si="8"/>
        <v>36.389999999999986</v>
      </c>
      <c r="D110" s="7">
        <f t="shared" si="9"/>
        <v>7.5145582951307022E-2</v>
      </c>
      <c r="E110" s="3">
        <f t="shared" si="14"/>
        <v>161.85999999999996</v>
      </c>
      <c r="F110" s="7">
        <f t="shared" si="15"/>
        <v>0.45112740042922028</v>
      </c>
      <c r="G110" s="3">
        <f t="shared" si="10"/>
        <v>492.50333333333333</v>
      </c>
      <c r="H110" s="3">
        <f t="shared" si="11"/>
        <v>474.43000000000006</v>
      </c>
      <c r="I110" s="3">
        <f t="shared" si="12"/>
        <v>445.29888888888888</v>
      </c>
      <c r="J110" s="3">
        <f t="shared" si="13"/>
        <v>424.66833333333329</v>
      </c>
    </row>
    <row r="111" spans="1:10" x14ac:dyDescent="0.2">
      <c r="A111" s="9">
        <v>45323</v>
      </c>
      <c r="B111" s="3">
        <v>539.34</v>
      </c>
      <c r="C111" s="3">
        <f t="shared" si="8"/>
        <v>18.690000000000055</v>
      </c>
      <c r="D111" s="7">
        <f t="shared" si="9"/>
        <v>3.5897435897435992E-2</v>
      </c>
      <c r="E111" s="3">
        <f t="shared" si="14"/>
        <v>179.60000000000002</v>
      </c>
      <c r="F111" s="7">
        <f t="shared" si="15"/>
        <v>0.49924945794184694</v>
      </c>
      <c r="G111" s="3">
        <f t="shared" si="10"/>
        <v>514.75</v>
      </c>
      <c r="H111" s="3">
        <f t="shared" si="11"/>
        <v>490.22499999999997</v>
      </c>
      <c r="I111" s="3">
        <f t="shared" si="12"/>
        <v>464.59888888888884</v>
      </c>
      <c r="J111" s="3">
        <f t="shared" si="13"/>
        <v>439.63499999999999</v>
      </c>
    </row>
    <row r="112" spans="1:10" x14ac:dyDescent="0.2">
      <c r="A112" s="9">
        <v>45352</v>
      </c>
      <c r="B112" s="3">
        <v>545.62</v>
      </c>
      <c r="C112" s="3">
        <f t="shared" si="8"/>
        <v>6.2799999999999727</v>
      </c>
      <c r="D112" s="7">
        <f t="shared" si="9"/>
        <v>1.1643861015314894E-2</v>
      </c>
      <c r="E112" s="3">
        <f t="shared" si="14"/>
        <v>181.7</v>
      </c>
      <c r="F112" s="7">
        <f t="shared" si="15"/>
        <v>0.49928555726533297</v>
      </c>
      <c r="G112" s="3">
        <f t="shared" si="10"/>
        <v>535.20333333333338</v>
      </c>
      <c r="H112" s="3">
        <f t="shared" si="11"/>
        <v>504.94499999999999</v>
      </c>
      <c r="I112" s="3">
        <f t="shared" si="12"/>
        <v>482.68444444444452</v>
      </c>
      <c r="J112" s="3">
        <f t="shared" si="13"/>
        <v>454.77666666666659</v>
      </c>
    </row>
    <row r="113" spans="1:10" x14ac:dyDescent="0.2">
      <c r="A113" s="9">
        <v>45383</v>
      </c>
      <c r="B113" s="3">
        <v>555.01</v>
      </c>
      <c r="C113" s="3">
        <f t="shared" si="8"/>
        <v>9.3899999999999864</v>
      </c>
      <c r="D113" s="7">
        <f t="shared" si="9"/>
        <v>1.7209779700157579E-2</v>
      </c>
      <c r="E113" s="3">
        <f t="shared" si="14"/>
        <v>190.33999999999997</v>
      </c>
      <c r="F113" s="7">
        <f t="shared" si="15"/>
        <v>0.52195135327830622</v>
      </c>
      <c r="G113" s="3">
        <f t="shared" si="10"/>
        <v>546.65666666666664</v>
      </c>
      <c r="H113" s="3">
        <f t="shared" si="11"/>
        <v>519.57999999999993</v>
      </c>
      <c r="I113" s="3">
        <f t="shared" si="12"/>
        <v>498.50555555555559</v>
      </c>
      <c r="J113" s="3">
        <f t="shared" si="13"/>
        <v>470.63833333333332</v>
      </c>
    </row>
    <row r="114" spans="1:10" x14ac:dyDescent="0.2">
      <c r="A114" s="9">
        <v>45413</v>
      </c>
      <c r="B114" s="3">
        <v>559.73</v>
      </c>
      <c r="C114" s="3">
        <f t="shared" si="8"/>
        <v>4.7200000000000273</v>
      </c>
      <c r="D114" s="7">
        <f t="shared" si="9"/>
        <v>8.504351272950128E-3</v>
      </c>
      <c r="E114" s="3">
        <f t="shared" si="14"/>
        <v>194.09000000000003</v>
      </c>
      <c r="F114" s="7">
        <f t="shared" si="15"/>
        <v>0.53082266710425574</v>
      </c>
      <c r="G114" s="3">
        <f t="shared" si="10"/>
        <v>553.45333333333338</v>
      </c>
      <c r="H114" s="3">
        <f t="shared" si="11"/>
        <v>534.10166666666669</v>
      </c>
      <c r="I114" s="3">
        <f t="shared" si="12"/>
        <v>511.30111111111103</v>
      </c>
      <c r="J114" s="3">
        <f t="shared" si="13"/>
        <v>486.8125</v>
      </c>
    </row>
    <row r="115" spans="1:10" x14ac:dyDescent="0.2">
      <c r="A115" s="9">
        <v>45444</v>
      </c>
      <c r="B115" s="3">
        <v>564.92999999999995</v>
      </c>
      <c r="C115" s="3">
        <f t="shared" si="8"/>
        <v>5.1999999999999318</v>
      </c>
      <c r="D115" s="7">
        <f t="shared" si="9"/>
        <v>9.2901934861449043E-3</v>
      </c>
      <c r="E115" s="3">
        <f t="shared" si="14"/>
        <v>182.07999999999993</v>
      </c>
      <c r="F115" s="7">
        <f t="shared" si="15"/>
        <v>0.47559096251795729</v>
      </c>
      <c r="G115" s="3">
        <f t="shared" si="10"/>
        <v>559.89</v>
      </c>
      <c r="H115" s="3">
        <f t="shared" si="11"/>
        <v>547.54666666666662</v>
      </c>
      <c r="I115" s="3">
        <f t="shared" si="12"/>
        <v>523.26</v>
      </c>
      <c r="J115" s="3">
        <f t="shared" si="13"/>
        <v>501.98583333333346</v>
      </c>
    </row>
    <row r="116" spans="1:10" x14ac:dyDescent="0.2">
      <c r="A116" s="9">
        <v>45474</v>
      </c>
      <c r="B116" s="3">
        <v>584.25</v>
      </c>
      <c r="C116" s="3">
        <f t="shared" si="8"/>
        <v>19.32000000000005</v>
      </c>
      <c r="D116" s="7">
        <f t="shared" si="9"/>
        <v>3.4198927300727711E-2</v>
      </c>
      <c r="E116" s="3">
        <f t="shared" si="14"/>
        <v>171.63</v>
      </c>
      <c r="F116" s="7">
        <f t="shared" si="15"/>
        <v>0.41595172313508799</v>
      </c>
      <c r="G116" s="3">
        <f t="shared" si="10"/>
        <v>569.63666666666666</v>
      </c>
      <c r="H116" s="3">
        <f t="shared" si="11"/>
        <v>558.14666666666665</v>
      </c>
      <c r="I116" s="3">
        <f t="shared" si="12"/>
        <v>536.26555555555547</v>
      </c>
      <c r="J116" s="3">
        <f t="shared" si="13"/>
        <v>516.28833333333341</v>
      </c>
    </row>
    <row r="117" spans="1:10" x14ac:dyDescent="0.2">
      <c r="A117" s="9">
        <v>45505</v>
      </c>
      <c r="B117" s="3">
        <v>592.39</v>
      </c>
      <c r="C117" s="3">
        <f t="shared" si="8"/>
        <v>8.1399999999999864</v>
      </c>
      <c r="D117" s="7">
        <f t="shared" si="9"/>
        <v>1.3932391955498558E-2</v>
      </c>
      <c r="E117" s="3">
        <f t="shared" si="14"/>
        <v>147.82</v>
      </c>
      <c r="F117" s="7">
        <f t="shared" si="15"/>
        <v>0.33250106844816329</v>
      </c>
      <c r="G117" s="3">
        <f t="shared" si="10"/>
        <v>580.5233333333332</v>
      </c>
      <c r="H117" s="3">
        <f t="shared" si="11"/>
        <v>566.98833333333334</v>
      </c>
      <c r="I117" s="3">
        <f t="shared" si="12"/>
        <v>549.57555555555564</v>
      </c>
      <c r="J117" s="3">
        <f t="shared" si="13"/>
        <v>528.60666666666668</v>
      </c>
    </row>
    <row r="118" spans="1:10" x14ac:dyDescent="0.2">
      <c r="A118" s="9">
        <v>45536</v>
      </c>
      <c r="B118" s="3">
        <v>602.88</v>
      </c>
      <c r="C118" s="3">
        <f t="shared" si="8"/>
        <v>10.490000000000009</v>
      </c>
      <c r="D118" s="7">
        <f t="shared" si="9"/>
        <v>1.770792889819206E-2</v>
      </c>
      <c r="E118" s="3">
        <f t="shared" si="14"/>
        <v>145.57999999999998</v>
      </c>
      <c r="F118" s="7">
        <f t="shared" si="15"/>
        <v>0.31834681828121569</v>
      </c>
      <c r="G118" s="3">
        <f t="shared" si="10"/>
        <v>593.17333333333329</v>
      </c>
      <c r="H118" s="3">
        <f t="shared" si="11"/>
        <v>576.53166666666664</v>
      </c>
      <c r="I118" s="3">
        <f t="shared" si="12"/>
        <v>562.75555555555559</v>
      </c>
      <c r="J118" s="3">
        <f t="shared" si="13"/>
        <v>540.73833333333334</v>
      </c>
    </row>
    <row r="119" spans="1:10" x14ac:dyDescent="0.2">
      <c r="A119" s="9">
        <v>45566</v>
      </c>
      <c r="B119" s="3">
        <v>619.47</v>
      </c>
      <c r="C119" s="3">
        <f t="shared" si="8"/>
        <v>16.590000000000032</v>
      </c>
      <c r="D119" s="7">
        <f t="shared" si="9"/>
        <v>2.7517914012738842E-2</v>
      </c>
      <c r="E119" s="3">
        <f t="shared" si="14"/>
        <v>152.27000000000004</v>
      </c>
      <c r="F119" s="7">
        <f t="shared" si="15"/>
        <v>0.32592037671232887</v>
      </c>
      <c r="G119" s="3">
        <f t="shared" si="10"/>
        <v>604.9133333333333</v>
      </c>
      <c r="H119" s="3">
        <f t="shared" si="11"/>
        <v>587.27499999999998</v>
      </c>
      <c r="I119" s="3">
        <f t="shared" si="12"/>
        <v>573.73555555555549</v>
      </c>
      <c r="J119" s="3">
        <f t="shared" si="13"/>
        <v>553.42750000000001</v>
      </c>
    </row>
    <row r="120" spans="1:10" x14ac:dyDescent="0.2">
      <c r="A120" s="9">
        <v>45597</v>
      </c>
      <c r="B120" s="3">
        <v>628.19000000000005</v>
      </c>
      <c r="C120" s="3">
        <f t="shared" si="8"/>
        <v>8.7200000000000273</v>
      </c>
      <c r="D120" s="7">
        <f t="shared" si="9"/>
        <v>1.4076549308279729E-2</v>
      </c>
      <c r="E120" s="3">
        <f t="shared" si="14"/>
        <v>155.59000000000003</v>
      </c>
      <c r="F120" s="7">
        <f t="shared" si="15"/>
        <v>0.32922132881929755</v>
      </c>
      <c r="G120" s="3">
        <f t="shared" si="10"/>
        <v>616.84666666666669</v>
      </c>
      <c r="H120" s="3">
        <f t="shared" si="11"/>
        <v>598.68500000000006</v>
      </c>
      <c r="I120" s="3">
        <f t="shared" si="12"/>
        <v>583.60777777777776</v>
      </c>
      <c r="J120" s="3">
        <f t="shared" si="13"/>
        <v>566.39333333333343</v>
      </c>
    </row>
    <row r="121" spans="1:10" x14ac:dyDescent="0.2">
      <c r="A121" s="9">
        <v>45627</v>
      </c>
      <c r="B121" s="3">
        <v>641.58000000000004</v>
      </c>
      <c r="C121" s="3">
        <f t="shared" si="8"/>
        <v>13.389999999999986</v>
      </c>
      <c r="D121" s="7">
        <f t="shared" si="9"/>
        <v>2.1315207182540208E-2</v>
      </c>
      <c r="E121" s="3">
        <f t="shared" si="14"/>
        <v>157.32000000000005</v>
      </c>
      <c r="F121" s="7">
        <f t="shared" si="15"/>
        <v>0.32486680708710214</v>
      </c>
      <c r="G121" s="3">
        <f t="shared" si="10"/>
        <v>629.74666666666678</v>
      </c>
      <c r="H121" s="3">
        <f t="shared" si="11"/>
        <v>611.45999999999992</v>
      </c>
      <c r="I121" s="3">
        <f t="shared" si="12"/>
        <v>594.27</v>
      </c>
      <c r="J121" s="3">
        <f t="shared" si="13"/>
        <v>579.50333333333344</v>
      </c>
    </row>
    <row r="122" spans="1:10" x14ac:dyDescent="0.2">
      <c r="A122" s="9">
        <v>45658</v>
      </c>
      <c r="B122" s="3">
        <v>679.38</v>
      </c>
      <c r="C122" s="3">
        <f t="shared" si="8"/>
        <v>37.799999999999955</v>
      </c>
      <c r="D122" s="7">
        <f t="shared" si="9"/>
        <v>5.8917048536425654E-2</v>
      </c>
      <c r="E122" s="3">
        <f t="shared" si="14"/>
        <v>158.73000000000002</v>
      </c>
      <c r="F122" s="7">
        <f t="shared" si="15"/>
        <v>0.30486891385767789</v>
      </c>
      <c r="G122" s="3">
        <f t="shared" si="10"/>
        <v>649.7166666666667</v>
      </c>
      <c r="H122" s="3">
        <f t="shared" si="11"/>
        <v>627.31500000000005</v>
      </c>
      <c r="I122" s="3">
        <f t="shared" si="12"/>
        <v>608.08888888888896</v>
      </c>
      <c r="J122" s="3">
        <f t="shared" si="13"/>
        <v>592.73083333333329</v>
      </c>
    </row>
    <row r="123" spans="1:10" x14ac:dyDescent="0.2">
      <c r="A123" s="9">
        <v>45689</v>
      </c>
      <c r="B123" s="3">
        <v>695.32</v>
      </c>
      <c r="C123" s="3">
        <f t="shared" si="8"/>
        <v>15.940000000000055</v>
      </c>
      <c r="D123" s="7">
        <f t="shared" si="9"/>
        <v>2.3462568812741003E-2</v>
      </c>
      <c r="E123" s="3">
        <f t="shared" si="14"/>
        <v>155.98000000000002</v>
      </c>
      <c r="F123" s="7">
        <f t="shared" si="15"/>
        <v>0.28920532502688467</v>
      </c>
      <c r="G123" s="3">
        <f t="shared" si="10"/>
        <v>672.09333333333336</v>
      </c>
      <c r="H123" s="3">
        <f t="shared" si="11"/>
        <v>644.47</v>
      </c>
      <c r="I123" s="3">
        <f t="shared" si="12"/>
        <v>623.15444444444449</v>
      </c>
      <c r="J123" s="3">
        <f t="shared" si="13"/>
        <v>605.72916666666663</v>
      </c>
    </row>
    <row r="124" spans="1:10" x14ac:dyDescent="0.2">
      <c r="A124" s="9">
        <v>45717</v>
      </c>
      <c r="B124" s="3">
        <v>707.81</v>
      </c>
      <c r="C124" s="3">
        <f t="shared" si="8"/>
        <v>12.489999999999895</v>
      </c>
      <c r="D124" s="7">
        <f t="shared" si="9"/>
        <v>1.7962952309727775E-2</v>
      </c>
      <c r="E124" s="3">
        <f t="shared" si="14"/>
        <v>162.18999999999994</v>
      </c>
      <c r="F124" s="7">
        <f t="shared" si="15"/>
        <v>0.29725816502327618</v>
      </c>
      <c r="G124" s="3">
        <f t="shared" si="10"/>
        <v>694.17000000000007</v>
      </c>
      <c r="H124" s="3">
        <f t="shared" si="11"/>
        <v>661.95833333333337</v>
      </c>
      <c r="I124" s="3">
        <f t="shared" si="12"/>
        <v>639.02999999999986</v>
      </c>
      <c r="J124" s="3">
        <f t="shared" si="13"/>
        <v>619.245</v>
      </c>
    </row>
    <row r="125" spans="1:10" x14ac:dyDescent="0.2">
      <c r="A125" s="9">
        <v>45748</v>
      </c>
      <c r="B125" s="3">
        <v>722.19</v>
      </c>
      <c r="C125" s="3">
        <f t="shared" si="8"/>
        <v>14.380000000000109</v>
      </c>
      <c r="D125" s="7">
        <f t="shared" si="9"/>
        <v>2.0316186547237436E-2</v>
      </c>
      <c r="E125" s="3">
        <f t="shared" si="14"/>
        <v>167.18000000000006</v>
      </c>
      <c r="F125" s="7">
        <f t="shared" si="15"/>
        <v>0.30121979784148056</v>
      </c>
      <c r="G125" s="3">
        <f t="shared" si="10"/>
        <v>708.44</v>
      </c>
      <c r="H125" s="3">
        <f t="shared" si="11"/>
        <v>679.07833333333338</v>
      </c>
      <c r="I125" s="3">
        <f t="shared" si="12"/>
        <v>654.3566666666668</v>
      </c>
      <c r="J125" s="3">
        <f t="shared" si="13"/>
        <v>633.17666666666673</v>
      </c>
    </row>
    <row r="126" spans="1:10" x14ac:dyDescent="0.2">
      <c r="A126" s="9">
        <v>45778</v>
      </c>
      <c r="B126" s="3">
        <v>737.73</v>
      </c>
      <c r="C126" s="3">
        <f t="shared" si="8"/>
        <v>15.539999999999964</v>
      </c>
      <c r="D126" s="7">
        <f t="shared" si="9"/>
        <v>2.1517883105553803E-2</v>
      </c>
      <c r="E126" s="3">
        <f t="shared" si="14"/>
        <v>178</v>
      </c>
      <c r="F126" s="7">
        <f t="shared" si="15"/>
        <v>0.31801046933342869</v>
      </c>
      <c r="G126" s="3">
        <f t="shared" si="10"/>
        <v>722.57666666666671</v>
      </c>
      <c r="H126" s="3">
        <f t="shared" si="11"/>
        <v>697.33500000000004</v>
      </c>
      <c r="I126" s="3">
        <f t="shared" si="12"/>
        <v>670.50555555555547</v>
      </c>
      <c r="J126" s="3">
        <f t="shared" si="13"/>
        <v>648.0100000000001</v>
      </c>
    </row>
    <row r="127" spans="1:10" x14ac:dyDescent="0.2">
      <c r="A127" s="9">
        <v>45809</v>
      </c>
      <c r="B127" s="3">
        <v>756.31</v>
      </c>
      <c r="C127" s="3">
        <f t="shared" si="8"/>
        <v>18.579999999999927</v>
      </c>
      <c r="D127" s="7">
        <f t="shared" si="9"/>
        <v>2.5185365919780933E-2</v>
      </c>
      <c r="E127" s="3">
        <f t="shared" si="14"/>
        <v>191.38</v>
      </c>
      <c r="F127" s="7">
        <f t="shared" si="15"/>
        <v>0.33876763492822115</v>
      </c>
      <c r="G127" s="3">
        <f t="shared" si="10"/>
        <v>738.74333333333334</v>
      </c>
      <c r="H127" s="3">
        <f t="shared" si="11"/>
        <v>716.45666666666659</v>
      </c>
      <c r="I127" s="3">
        <f t="shared" si="12"/>
        <v>687.55333333333328</v>
      </c>
      <c r="J127" s="3">
        <f t="shared" si="13"/>
        <v>663.95833333333314</v>
      </c>
    </row>
    <row r="128" spans="1:10" x14ac:dyDescent="0.2">
      <c r="A128" s="9">
        <v>45839</v>
      </c>
      <c r="B128" s="3">
        <v>784.16</v>
      </c>
      <c r="C128" s="3">
        <f t="shared" si="8"/>
        <v>27.850000000000023</v>
      </c>
      <c r="D128" s="7">
        <f t="shared" si="9"/>
        <v>3.6823524745144276E-2</v>
      </c>
      <c r="E128" s="3">
        <f t="shared" si="14"/>
        <v>199.90999999999997</v>
      </c>
      <c r="F128" s="7">
        <f t="shared" si="15"/>
        <v>0.34216516902011129</v>
      </c>
      <c r="G128" s="3">
        <f t="shared" si="10"/>
        <v>759.4</v>
      </c>
      <c r="H128" s="3">
        <f t="shared" si="11"/>
        <v>733.92000000000007</v>
      </c>
      <c r="I128" s="3">
        <f t="shared" si="12"/>
        <v>705.85222222222228</v>
      </c>
      <c r="J128" s="3">
        <f t="shared" si="13"/>
        <v>680.61749999999995</v>
      </c>
    </row>
    <row r="129" spans="1:10" x14ac:dyDescent="0.2">
      <c r="A129" s="9">
        <v>45870</v>
      </c>
      <c r="B129" s="3">
        <v>794.33</v>
      </c>
      <c r="C129" s="3">
        <f t="shared" si="8"/>
        <v>10.170000000000073</v>
      </c>
      <c r="D129" s="7">
        <f t="shared" si="9"/>
        <v>1.2969291981228315E-2</v>
      </c>
      <c r="E129" s="3">
        <f t="shared" si="14"/>
        <v>201.94000000000005</v>
      </c>
      <c r="F129" s="7">
        <f t="shared" si="15"/>
        <v>0.34089029186853259</v>
      </c>
      <c r="G129" s="3">
        <f t="shared" si="10"/>
        <v>778.26666666666654</v>
      </c>
      <c r="H129" s="3">
        <f t="shared" si="11"/>
        <v>750.42166666666662</v>
      </c>
      <c r="I129" s="3">
        <f t="shared" si="12"/>
        <v>724.3122222222222</v>
      </c>
      <c r="J129" s="3">
        <f t="shared" si="13"/>
        <v>697.44583333333321</v>
      </c>
    </row>
    <row r="130" spans="1:10" x14ac:dyDescent="0.2">
      <c r="A130" s="9">
        <v>45901</v>
      </c>
      <c r="B130" s="3">
        <v>811.45</v>
      </c>
      <c r="C130" s="3">
        <f t="shared" si="8"/>
        <v>17.120000000000005</v>
      </c>
      <c r="D130" s="7">
        <f t="shared" si="9"/>
        <v>2.1552755152140834E-2</v>
      </c>
      <c r="E130" s="3">
        <f t="shared" si="14"/>
        <v>208.57000000000005</v>
      </c>
      <c r="F130" s="7">
        <f t="shared" si="15"/>
        <v>0.34595607749469215</v>
      </c>
      <c r="G130" s="3">
        <f t="shared" si="10"/>
        <v>796.64666666666665</v>
      </c>
      <c r="H130" s="3">
        <f t="shared" si="11"/>
        <v>767.69500000000005</v>
      </c>
      <c r="I130" s="3">
        <f t="shared" si="12"/>
        <v>743.18666666666661</v>
      </c>
      <c r="J130" s="3">
        <f t="shared" si="13"/>
        <v>714.82666666666671</v>
      </c>
    </row>
    <row r="131" spans="1:10" x14ac:dyDescent="0.2">
      <c r="A131" s="9">
        <v>45931</v>
      </c>
      <c r="B131" s="3">
        <v>828.01</v>
      </c>
      <c r="C131" s="3">
        <f t="shared" si="8"/>
        <v>16.559999999999945</v>
      </c>
      <c r="D131" s="7">
        <f t="shared" si="9"/>
        <v>2.0407911762893471E-2</v>
      </c>
      <c r="E131" s="3">
        <f t="shared" si="14"/>
        <v>208.53999999999996</v>
      </c>
      <c r="F131" s="7">
        <f t="shared" si="15"/>
        <v>0.33664261384732108</v>
      </c>
      <c r="G131" s="3">
        <f t="shared" si="10"/>
        <v>811.26333333333332</v>
      </c>
      <c r="H131" s="3">
        <f t="shared" si="11"/>
        <v>785.33166666666659</v>
      </c>
      <c r="I131" s="3">
        <f t="shared" si="12"/>
        <v>759.70111111111112</v>
      </c>
      <c r="J131" s="3">
        <f t="shared" si="13"/>
        <v>732.20499999999993</v>
      </c>
    </row>
    <row r="132" spans="1:10" x14ac:dyDescent="0.2">
      <c r="A132" s="9">
        <v>45962</v>
      </c>
      <c r="B132" s="3">
        <v>843.26</v>
      </c>
      <c r="C132" s="3">
        <f t="shared" ref="C132:C136" si="16">B132-B131</f>
        <v>15.25</v>
      </c>
      <c r="D132" s="7">
        <f t="shared" ref="D132:D136" si="17">B132/B131-1</f>
        <v>1.841765196072509E-2</v>
      </c>
      <c r="E132" s="3">
        <f t="shared" si="14"/>
        <v>215.06999999999994</v>
      </c>
      <c r="F132" s="7">
        <f t="shared" si="15"/>
        <v>0.34236457122844977</v>
      </c>
      <c r="G132" s="3">
        <f t="shared" si="10"/>
        <v>827.57333333333338</v>
      </c>
      <c r="H132" s="3">
        <f t="shared" si="11"/>
        <v>802.92000000000007</v>
      </c>
      <c r="I132" s="3">
        <f t="shared" si="12"/>
        <v>776.13888888888891</v>
      </c>
      <c r="J132" s="3">
        <f t="shared" si="13"/>
        <v>750.12749999999994</v>
      </c>
    </row>
    <row r="133" spans="1:10" x14ac:dyDescent="0.2">
      <c r="A133" s="9">
        <v>45992</v>
      </c>
      <c r="B133" s="3">
        <v>854.25</v>
      </c>
      <c r="C133" s="3">
        <f t="shared" si="16"/>
        <v>10.990000000000009</v>
      </c>
      <c r="D133" s="7">
        <f t="shared" si="17"/>
        <v>1.303275383630198E-2</v>
      </c>
      <c r="E133" s="3">
        <f t="shared" si="14"/>
        <v>212.66999999999996</v>
      </c>
      <c r="F133" s="7">
        <f t="shared" si="15"/>
        <v>0.33147853736089017</v>
      </c>
      <c r="G133" s="3">
        <f t="shared" ref="G133:G136" si="18">AVERAGE(B131:B133)</f>
        <v>841.84</v>
      </c>
      <c r="H133" s="3">
        <f t="shared" si="11"/>
        <v>819.24333333333334</v>
      </c>
      <c r="I133" s="3">
        <f t="shared" si="12"/>
        <v>792.41000000000008</v>
      </c>
      <c r="J133" s="3">
        <f t="shared" si="13"/>
        <v>767.84999999999991</v>
      </c>
    </row>
    <row r="134" spans="1:10" x14ac:dyDescent="0.2">
      <c r="A134" s="9">
        <v>46023</v>
      </c>
      <c r="B134" s="3">
        <v>887.19</v>
      </c>
      <c r="C134" s="3">
        <f t="shared" si="16"/>
        <v>32.940000000000055</v>
      </c>
      <c r="D134" s="7">
        <f t="shared" si="17"/>
        <v>3.8560140474100058E-2</v>
      </c>
      <c r="E134" s="3">
        <f t="shared" si="14"/>
        <v>207.81000000000006</v>
      </c>
      <c r="F134" s="7">
        <f t="shared" si="15"/>
        <v>0.30588183343636843</v>
      </c>
      <c r="G134" s="3">
        <f t="shared" si="18"/>
        <v>861.56666666666661</v>
      </c>
      <c r="H134" s="3">
        <f t="shared" si="11"/>
        <v>836.41499999999996</v>
      </c>
      <c r="I134" s="3">
        <f t="shared" si="12"/>
        <v>810.74333333333334</v>
      </c>
      <c r="J134" s="3">
        <f t="shared" si="13"/>
        <v>785.16750000000002</v>
      </c>
    </row>
    <row r="135" spans="1:10" x14ac:dyDescent="0.2">
      <c r="A135" s="9">
        <v>46054</v>
      </c>
      <c r="B135" s="3">
        <v>914.7</v>
      </c>
      <c r="C135" s="3">
        <f t="shared" si="16"/>
        <v>27.509999999999991</v>
      </c>
      <c r="D135" s="7">
        <f t="shared" si="17"/>
        <v>3.1008014066885359E-2</v>
      </c>
      <c r="E135" s="3">
        <f t="shared" si="14"/>
        <v>219.38</v>
      </c>
      <c r="F135" s="7">
        <f t="shared" si="15"/>
        <v>0.31550940574124131</v>
      </c>
      <c r="G135" s="3">
        <f t="shared" si="18"/>
        <v>885.38000000000011</v>
      </c>
      <c r="H135" s="3">
        <f t="shared" si="11"/>
        <v>856.47666666666657</v>
      </c>
      <c r="I135" s="3">
        <f t="shared" si="12"/>
        <v>830.40666666666675</v>
      </c>
      <c r="J135" s="3">
        <f t="shared" si="13"/>
        <v>803.44916666666677</v>
      </c>
    </row>
    <row r="136" spans="1:10" x14ac:dyDescent="0.2">
      <c r="A136" s="9">
        <v>46082</v>
      </c>
      <c r="B136" s="3">
        <v>950.32</v>
      </c>
      <c r="C136" s="3">
        <f t="shared" si="16"/>
        <v>35.620000000000005</v>
      </c>
      <c r="D136" s="7">
        <f t="shared" si="17"/>
        <v>3.8941729528807256E-2</v>
      </c>
      <c r="E136" s="3">
        <f t="shared" si="14"/>
        <v>242.5100000000001</v>
      </c>
      <c r="F136" s="7">
        <f t="shared" si="15"/>
        <v>0.34262019468501448</v>
      </c>
      <c r="G136" s="3">
        <f t="shared" si="18"/>
        <v>917.40333333333331</v>
      </c>
      <c r="H136" s="3">
        <f t="shared" ref="H136" si="19">AVERAGE(B131:B136)</f>
        <v>879.62166666666656</v>
      </c>
      <c r="I136" s="3">
        <f t="shared" si="12"/>
        <v>851.96333333333325</v>
      </c>
      <c r="J136" s="3">
        <f t="shared" si="13"/>
        <v>823.65833333333342</v>
      </c>
    </row>
    <row r="139" spans="1:10" x14ac:dyDescent="0.2">
      <c r="A139" s="1"/>
    </row>
    <row r="142" spans="1:10" x14ac:dyDescent="0.2">
      <c r="A142" s="1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2ED16-A397-1641-8069-C3C32DB9620A}">
  <dimension ref="A1:J136"/>
  <sheetViews>
    <sheetView topLeftCell="A41" zoomScale="75" zoomScaleNormal="170" workbookViewId="0">
      <selection activeCell="B1" sqref="B1"/>
    </sheetView>
  </sheetViews>
  <sheetFormatPr baseColWidth="10" defaultRowHeight="15" x14ac:dyDescent="0.2"/>
  <cols>
    <col min="1" max="1" width="9.1640625" bestFit="1" customWidth="1"/>
    <col min="2" max="2" width="19.1640625" bestFit="1" customWidth="1"/>
    <col min="3" max="3" width="16.33203125" bestFit="1" customWidth="1"/>
    <col min="4" max="4" width="12.6640625" bestFit="1" customWidth="1"/>
    <col min="5" max="5" width="16.33203125" bestFit="1" customWidth="1"/>
    <col min="6" max="6" width="12.6640625" bestFit="1" customWidth="1"/>
    <col min="7" max="9" width="20.33203125" bestFit="1" customWidth="1"/>
    <col min="10" max="10" width="21.33203125" bestFit="1" customWidth="1"/>
  </cols>
  <sheetData>
    <row r="1" spans="1:10" x14ac:dyDescent="0.2">
      <c r="A1" s="8" t="s">
        <v>0</v>
      </c>
      <c r="B1" s="4" t="s">
        <v>6</v>
      </c>
      <c r="C1" s="4" t="s">
        <v>3</v>
      </c>
      <c r="D1" s="4" t="s">
        <v>2</v>
      </c>
      <c r="E1" s="4" t="s">
        <v>5</v>
      </c>
      <c r="F1" s="4" t="s">
        <v>4</v>
      </c>
      <c r="G1" s="2" t="s">
        <v>7</v>
      </c>
      <c r="H1" s="2" t="s">
        <v>8</v>
      </c>
      <c r="I1" s="2" t="s">
        <v>9</v>
      </c>
      <c r="J1" s="2" t="s">
        <v>10</v>
      </c>
    </row>
    <row r="2" spans="1:10" x14ac:dyDescent="0.2">
      <c r="A2" s="9">
        <v>42005</v>
      </c>
      <c r="B2" s="5">
        <f>LN(Endeks!B2)</f>
        <v>4.0405921062228538</v>
      </c>
      <c r="C2" s="4"/>
      <c r="D2" s="4"/>
      <c r="E2" s="4"/>
      <c r="F2" s="4"/>
      <c r="G2" s="4"/>
      <c r="H2" s="4"/>
      <c r="I2" s="4"/>
      <c r="J2" s="4"/>
    </row>
    <row r="3" spans="1:10" x14ac:dyDescent="0.2">
      <c r="A3" s="9">
        <v>42036</v>
      </c>
      <c r="B3" s="5">
        <f>LN(Endeks!B3)</f>
        <v>4.0472529546882505</v>
      </c>
      <c r="C3" s="5">
        <f>B3-B2</f>
        <v>6.6608484653967182E-3</v>
      </c>
      <c r="D3" s="6">
        <f>B3/B2-1</f>
        <v>1.6484832644052538E-3</v>
      </c>
      <c r="E3" s="4"/>
      <c r="F3" s="4"/>
      <c r="G3" s="4"/>
      <c r="H3" s="4"/>
      <c r="I3" s="4"/>
      <c r="J3" s="4"/>
    </row>
    <row r="4" spans="1:10" x14ac:dyDescent="0.2">
      <c r="A4" s="9">
        <v>42064</v>
      </c>
      <c r="B4" s="5">
        <f>LN(Endeks!B4)</f>
        <v>4.050392674692918</v>
      </c>
      <c r="C4" s="5">
        <f t="shared" ref="C4:C67" si="0">B4-B3</f>
        <v>3.1397200046674456E-3</v>
      </c>
      <c r="D4" s="6">
        <f t="shared" ref="D4:D67" si="1">B4/B3-1</f>
        <v>7.7576569584825172E-4</v>
      </c>
      <c r="E4" s="4"/>
      <c r="F4" s="4"/>
      <c r="G4" s="5">
        <f>AVERAGE(B2:B4)</f>
        <v>4.0460792452013408</v>
      </c>
      <c r="H4" s="4"/>
      <c r="I4" s="4"/>
      <c r="J4" s="4"/>
    </row>
    <row r="5" spans="1:10" x14ac:dyDescent="0.2">
      <c r="A5" s="9">
        <v>42095</v>
      </c>
      <c r="B5" s="5">
        <f>LN(Endeks!B5)</f>
        <v>4.0524803581234021</v>
      </c>
      <c r="C5" s="5">
        <f t="shared" si="0"/>
        <v>2.0876834304841552E-3</v>
      </c>
      <c r="D5" s="6">
        <f t="shared" si="1"/>
        <v>5.154274160943384E-4</v>
      </c>
      <c r="E5" s="4"/>
      <c r="F5" s="4"/>
      <c r="G5" s="5">
        <f t="shared" ref="G5:G68" si="2">AVERAGE(B3:B5)</f>
        <v>4.0500419958348575</v>
      </c>
      <c r="H5" s="4"/>
      <c r="I5" s="4"/>
      <c r="J5" s="4"/>
    </row>
    <row r="6" spans="1:10" x14ac:dyDescent="0.2">
      <c r="A6" s="9">
        <v>42125</v>
      </c>
      <c r="B6" s="5">
        <f>LN(Endeks!B6)</f>
        <v>4.0592353851085328</v>
      </c>
      <c r="C6" s="5">
        <f t="shared" si="0"/>
        <v>6.755026985130641E-3</v>
      </c>
      <c r="D6" s="6">
        <f t="shared" si="1"/>
        <v>1.6668870390919022E-3</v>
      </c>
      <c r="E6" s="4"/>
      <c r="F6" s="4"/>
      <c r="G6" s="5">
        <f t="shared" si="2"/>
        <v>4.054036139308284</v>
      </c>
      <c r="H6" s="4"/>
      <c r="I6" s="4"/>
      <c r="J6" s="4"/>
    </row>
    <row r="7" spans="1:10" x14ac:dyDescent="0.2">
      <c r="A7" s="9">
        <v>42156</v>
      </c>
      <c r="B7" s="5">
        <f>LN(Endeks!B7)</f>
        <v>4.0600981234935096</v>
      </c>
      <c r="C7" s="5">
        <f t="shared" si="0"/>
        <v>8.6273838497685773E-4</v>
      </c>
      <c r="D7" s="6">
        <f t="shared" si="1"/>
        <v>2.1253716602442907E-4</v>
      </c>
      <c r="E7" s="4"/>
      <c r="F7" s="4"/>
      <c r="G7" s="5">
        <f t="shared" si="2"/>
        <v>4.0572712889084812</v>
      </c>
      <c r="H7" s="5">
        <f>AVERAGE(B2:B7)</f>
        <v>4.0516752670549119</v>
      </c>
      <c r="I7" s="4"/>
      <c r="J7" s="4"/>
    </row>
    <row r="8" spans="1:10" x14ac:dyDescent="0.2">
      <c r="A8" s="9">
        <v>42186</v>
      </c>
      <c r="B8" s="5">
        <f>LN(Endeks!B8)</f>
        <v>4.0550838482687981</v>
      </c>
      <c r="C8" s="5">
        <f t="shared" si="0"/>
        <v>-5.0142752247115396E-3</v>
      </c>
      <c r="D8" s="6">
        <f t="shared" si="1"/>
        <v>-1.2350133105643035E-3</v>
      </c>
      <c r="E8" s="4"/>
      <c r="F8" s="4"/>
      <c r="G8" s="5">
        <f t="shared" si="2"/>
        <v>4.0581391189569471</v>
      </c>
      <c r="H8" s="5">
        <f t="shared" ref="H8:H71" si="3">AVERAGE(B3:B8)</f>
        <v>4.0540905573959014</v>
      </c>
      <c r="I8" s="4"/>
      <c r="J8" s="4"/>
    </row>
    <row r="9" spans="1:10" x14ac:dyDescent="0.2">
      <c r="A9" s="9">
        <v>42217</v>
      </c>
      <c r="B9" s="5">
        <f>LN(Endeks!B9)</f>
        <v>4.0590627480774613</v>
      </c>
      <c r="C9" s="5">
        <f t="shared" si="0"/>
        <v>3.9788998086631722E-3</v>
      </c>
      <c r="D9" s="6">
        <f t="shared" si="1"/>
        <v>9.8121270916795567E-4</v>
      </c>
      <c r="E9" s="4"/>
      <c r="F9" s="4"/>
      <c r="G9" s="5">
        <f t="shared" si="2"/>
        <v>4.0580815732799236</v>
      </c>
      <c r="H9" s="5">
        <f t="shared" si="3"/>
        <v>4.0560588562941033</v>
      </c>
      <c r="I9" s="4"/>
      <c r="J9" s="4"/>
    </row>
    <row r="10" spans="1:10" x14ac:dyDescent="0.2">
      <c r="A10" s="9">
        <v>42248</v>
      </c>
      <c r="B10" s="5">
        <f>LN(Endeks!B10)</f>
        <v>4.0657736052340647</v>
      </c>
      <c r="C10" s="5">
        <f t="shared" si="0"/>
        <v>6.7108571566034669E-3</v>
      </c>
      <c r="D10" s="6">
        <f t="shared" si="1"/>
        <v>1.6533021470983567E-3</v>
      </c>
      <c r="E10" s="4"/>
      <c r="F10" s="4"/>
      <c r="G10" s="5">
        <f t="shared" si="2"/>
        <v>4.0599734005267747</v>
      </c>
      <c r="H10" s="5">
        <f t="shared" si="3"/>
        <v>4.0586223447176275</v>
      </c>
      <c r="I10" s="5">
        <f>AVERAGE(B2:B10)</f>
        <v>4.0544413115455322</v>
      </c>
      <c r="J10" s="4"/>
    </row>
    <row r="11" spans="1:10" x14ac:dyDescent="0.2">
      <c r="A11" s="9">
        <v>42278</v>
      </c>
      <c r="B11" s="5">
        <f>LN(Endeks!B11)</f>
        <v>4.064228938317477</v>
      </c>
      <c r="C11" s="5">
        <f t="shared" si="0"/>
        <v>-1.5446669165877225E-3</v>
      </c>
      <c r="D11" s="6">
        <f t="shared" si="1"/>
        <v>-3.7991955936733657E-4</v>
      </c>
      <c r="E11" s="4"/>
      <c r="F11" s="4"/>
      <c r="G11" s="5">
        <f t="shared" si="2"/>
        <v>4.0630217638763346</v>
      </c>
      <c r="H11" s="5">
        <f t="shared" si="3"/>
        <v>4.0605804414166409</v>
      </c>
      <c r="I11" s="5">
        <f t="shared" ref="I11:I74" si="4">AVERAGE(B3:B11)</f>
        <v>4.0570676262227128</v>
      </c>
      <c r="J11" s="4"/>
    </row>
    <row r="12" spans="1:10" x14ac:dyDescent="0.2">
      <c r="A12" s="9">
        <v>42309</v>
      </c>
      <c r="B12" s="5">
        <f>LN(Endeks!B12)</f>
        <v>4.0659450877004026</v>
      </c>
      <c r="C12" s="5">
        <f t="shared" si="0"/>
        <v>1.7161493829256358E-3</v>
      </c>
      <c r="D12" s="6">
        <f t="shared" si="1"/>
        <v>4.2225706498610904E-4</v>
      </c>
      <c r="E12" s="4"/>
      <c r="F12" s="4"/>
      <c r="G12" s="5">
        <f t="shared" si="2"/>
        <v>4.0653158770839815</v>
      </c>
      <c r="H12" s="5">
        <f t="shared" si="3"/>
        <v>4.0616987251819525</v>
      </c>
      <c r="I12" s="5">
        <f t="shared" si="4"/>
        <v>4.0591445298907285</v>
      </c>
      <c r="J12" s="4"/>
    </row>
    <row r="13" spans="1:10" x14ac:dyDescent="0.2">
      <c r="A13" s="9">
        <v>42339</v>
      </c>
      <c r="B13" s="5">
        <f>LN(Endeks!B13)</f>
        <v>4.0638853547373923</v>
      </c>
      <c r="C13" s="5">
        <f t="shared" si="0"/>
        <v>-2.0597329630103189E-3</v>
      </c>
      <c r="D13" s="6">
        <f t="shared" si="1"/>
        <v>-5.0658159876315612E-4</v>
      </c>
      <c r="E13" s="4"/>
      <c r="F13" s="4"/>
      <c r="G13" s="5">
        <f t="shared" si="2"/>
        <v>4.0646864602517576</v>
      </c>
      <c r="H13" s="5">
        <f t="shared" si="3"/>
        <v>4.0623299303892653</v>
      </c>
      <c r="I13" s="5">
        <f t="shared" si="4"/>
        <v>4.0606437165623372</v>
      </c>
      <c r="J13" s="5">
        <f>AVERAGE(B2:B13)</f>
        <v>4.0570025987220886</v>
      </c>
    </row>
    <row r="14" spans="1:10" x14ac:dyDescent="0.2">
      <c r="A14" s="9">
        <v>42370</v>
      </c>
      <c r="B14" s="5">
        <f>LN(Endeks!B14)</f>
        <v>4.0768592478810808</v>
      </c>
      <c r="C14" s="5">
        <f t="shared" si="0"/>
        <v>1.2973893143688464E-2</v>
      </c>
      <c r="D14" s="6">
        <f t="shared" si="1"/>
        <v>3.1924850263220783E-3</v>
      </c>
      <c r="E14" s="5">
        <f>B14-B2</f>
        <v>3.6267141658226976E-2</v>
      </c>
      <c r="F14" s="6">
        <f>B14/B2-1</f>
        <v>8.9756997748851042E-3</v>
      </c>
      <c r="G14" s="5">
        <f t="shared" si="2"/>
        <v>4.0688965634396252</v>
      </c>
      <c r="H14" s="5">
        <f t="shared" si="3"/>
        <v>4.0659591636579799</v>
      </c>
      <c r="I14" s="5">
        <f t="shared" si="4"/>
        <v>4.063352482090969</v>
      </c>
      <c r="J14" s="5">
        <f t="shared" ref="J14:J77" si="5">AVERAGE(B3:B14)</f>
        <v>4.0600248605269416</v>
      </c>
    </row>
    <row r="15" spans="1:10" x14ac:dyDescent="0.2">
      <c r="A15" s="9">
        <v>42401</v>
      </c>
      <c r="B15" s="5">
        <f>LN(Endeks!B15)</f>
        <v>4.073971772414164</v>
      </c>
      <c r="C15" s="5">
        <f t="shared" si="0"/>
        <v>-2.8874754669168112E-3</v>
      </c>
      <c r="D15" s="6">
        <f t="shared" si="1"/>
        <v>-7.0825978807520507E-4</v>
      </c>
      <c r="E15" s="5">
        <f t="shared" ref="E15:E78" si="6">B15-B3</f>
        <v>2.6718817725913446E-2</v>
      </c>
      <c r="F15" s="6">
        <f t="shared" ref="F15:F78" si="7">B15/B3-1</f>
        <v>6.6017167755632045E-3</v>
      </c>
      <c r="G15" s="5">
        <f t="shared" si="2"/>
        <v>4.0715721250108787</v>
      </c>
      <c r="H15" s="5">
        <f t="shared" si="3"/>
        <v>4.0684440010474301</v>
      </c>
      <c r="I15" s="5">
        <f t="shared" si="4"/>
        <v>4.0649898584582607</v>
      </c>
      <c r="J15" s="5">
        <f t="shared" si="5"/>
        <v>4.0622514286707663</v>
      </c>
    </row>
    <row r="16" spans="1:10" x14ac:dyDescent="0.2">
      <c r="A16" s="9">
        <v>42430</v>
      </c>
      <c r="B16" s="5">
        <f>LN(Endeks!B16)</f>
        <v>4.0777069210690771</v>
      </c>
      <c r="C16" s="5">
        <f t="shared" si="0"/>
        <v>3.7351486549130897E-3</v>
      </c>
      <c r="D16" s="6">
        <f t="shared" si="1"/>
        <v>9.1683223732785812E-4</v>
      </c>
      <c r="E16" s="5">
        <f t="shared" si="6"/>
        <v>2.731424637615909E-2</v>
      </c>
      <c r="F16" s="6">
        <f t="shared" si="7"/>
        <v>6.7436045267461608E-3</v>
      </c>
      <c r="G16" s="5">
        <f t="shared" si="2"/>
        <v>4.0761793137881073</v>
      </c>
      <c r="H16" s="5">
        <f t="shared" si="3"/>
        <v>4.0704328870199324</v>
      </c>
      <c r="I16" s="5">
        <f t="shared" si="4"/>
        <v>4.0669463915222126</v>
      </c>
      <c r="J16" s="5">
        <f t="shared" si="5"/>
        <v>4.06452761586878</v>
      </c>
    </row>
    <row r="17" spans="1:10" x14ac:dyDescent="0.2">
      <c r="A17" s="9">
        <v>42461</v>
      </c>
      <c r="B17" s="5">
        <f>LN(Endeks!B17)</f>
        <v>4.0780457892525979</v>
      </c>
      <c r="C17" s="5">
        <f t="shared" si="0"/>
        <v>3.3886818352080184E-4</v>
      </c>
      <c r="D17" s="6">
        <f t="shared" si="1"/>
        <v>8.3102633436027418E-5</v>
      </c>
      <c r="E17" s="5">
        <f t="shared" si="6"/>
        <v>2.5565431129195737E-2</v>
      </c>
      <c r="F17" s="6">
        <f t="shared" si="7"/>
        <v>6.3085885358946658E-3</v>
      </c>
      <c r="G17" s="5">
        <f t="shared" si="2"/>
        <v>4.0765748275786136</v>
      </c>
      <c r="H17" s="5">
        <f t="shared" si="3"/>
        <v>4.0727356955091194</v>
      </c>
      <c r="I17" s="5">
        <f t="shared" si="4"/>
        <v>4.0694977182981908</v>
      </c>
      <c r="J17" s="5">
        <f t="shared" si="5"/>
        <v>4.0666580684628801</v>
      </c>
    </row>
    <row r="18" spans="1:10" x14ac:dyDescent="0.2">
      <c r="A18" s="9">
        <v>42491</v>
      </c>
      <c r="B18" s="5">
        <f>LN(Endeks!B18)</f>
        <v>4.084630870034462</v>
      </c>
      <c r="C18" s="5">
        <f t="shared" si="0"/>
        <v>6.5850807818641499E-3</v>
      </c>
      <c r="D18" s="6">
        <f t="shared" si="1"/>
        <v>1.6147638163404032E-3</v>
      </c>
      <c r="E18" s="5">
        <f t="shared" si="6"/>
        <v>2.5395484925929246E-2</v>
      </c>
      <c r="F18" s="6">
        <f t="shared" si="7"/>
        <v>6.2562237753183148E-3</v>
      </c>
      <c r="G18" s="5">
        <f t="shared" si="2"/>
        <v>4.0801278601187123</v>
      </c>
      <c r="H18" s="5">
        <f t="shared" si="3"/>
        <v>4.0758499925647955</v>
      </c>
      <c r="I18" s="5">
        <f t="shared" si="4"/>
        <v>4.0723386207378569</v>
      </c>
      <c r="J18" s="5">
        <f t="shared" si="5"/>
        <v>4.068774358873374</v>
      </c>
    </row>
    <row r="19" spans="1:10" x14ac:dyDescent="0.2">
      <c r="A19" s="9">
        <v>42522</v>
      </c>
      <c r="B19" s="5">
        <f>LN(Endeks!B19)</f>
        <v>4.0878233452318353</v>
      </c>
      <c r="C19" s="5">
        <f t="shared" si="0"/>
        <v>3.1924751973733123E-3</v>
      </c>
      <c r="D19" s="6">
        <f t="shared" si="1"/>
        <v>7.8158230179226074E-4</v>
      </c>
      <c r="E19" s="5">
        <f t="shared" si="6"/>
        <v>2.77252217383257E-2</v>
      </c>
      <c r="F19" s="6">
        <f t="shared" si="7"/>
        <v>6.8287073107655694E-3</v>
      </c>
      <c r="G19" s="5">
        <f t="shared" si="2"/>
        <v>4.0835000015062981</v>
      </c>
      <c r="H19" s="5">
        <f t="shared" si="3"/>
        <v>4.0798396576472031</v>
      </c>
      <c r="I19" s="5">
        <f t="shared" si="4"/>
        <v>4.0747885918487201</v>
      </c>
      <c r="J19" s="5">
        <f t="shared" si="5"/>
        <v>4.0710847940182342</v>
      </c>
    </row>
    <row r="20" spans="1:10" x14ac:dyDescent="0.2">
      <c r="A20" s="9">
        <v>42552</v>
      </c>
      <c r="B20" s="5">
        <f>LN(Endeks!B20)</f>
        <v>4.0915072074019401</v>
      </c>
      <c r="C20" s="5">
        <f t="shared" si="0"/>
        <v>3.6838621701047458E-3</v>
      </c>
      <c r="D20" s="6">
        <f t="shared" si="1"/>
        <v>9.0117939524025914E-4</v>
      </c>
      <c r="E20" s="5">
        <f t="shared" si="6"/>
        <v>3.6423359133141986E-2</v>
      </c>
      <c r="F20" s="6">
        <f t="shared" si="7"/>
        <v>8.9821469779698404E-3</v>
      </c>
      <c r="G20" s="5">
        <f t="shared" si="2"/>
        <v>4.0879871408894131</v>
      </c>
      <c r="H20" s="5">
        <f t="shared" si="3"/>
        <v>4.0822809842340133</v>
      </c>
      <c r="I20" s="5">
        <f t="shared" si="4"/>
        <v>4.0778195106358837</v>
      </c>
      <c r="J20" s="5">
        <f t="shared" si="5"/>
        <v>4.0741200739459957</v>
      </c>
    </row>
    <row r="21" spans="1:10" x14ac:dyDescent="0.2">
      <c r="A21" s="9">
        <v>42583</v>
      </c>
      <c r="B21" s="5">
        <f>LN(Endeks!B21)</f>
        <v>4.0905038628361625</v>
      </c>
      <c r="C21" s="5">
        <f t="shared" si="0"/>
        <v>-1.003344565777553E-3</v>
      </c>
      <c r="D21" s="6">
        <f t="shared" si="1"/>
        <v>-2.4522615137090309E-4</v>
      </c>
      <c r="E21" s="5">
        <f t="shared" si="6"/>
        <v>3.1441114758701261E-2</v>
      </c>
      <c r="F21" s="6">
        <f t="shared" si="7"/>
        <v>7.7459050795884998E-3</v>
      </c>
      <c r="G21" s="5">
        <f t="shared" si="2"/>
        <v>4.0899448051566454</v>
      </c>
      <c r="H21" s="5">
        <f t="shared" si="3"/>
        <v>4.0850363326376788</v>
      </c>
      <c r="I21" s="5">
        <f t="shared" si="4"/>
        <v>4.0805482634287467</v>
      </c>
      <c r="J21" s="5">
        <f t="shared" si="5"/>
        <v>4.076740166842554</v>
      </c>
    </row>
    <row r="22" spans="1:10" x14ac:dyDescent="0.2">
      <c r="A22" s="9">
        <v>42614</v>
      </c>
      <c r="B22" s="5">
        <f>LN(Endeks!B22)</f>
        <v>4.0960098415411617</v>
      </c>
      <c r="C22" s="5">
        <f t="shared" si="0"/>
        <v>5.5059787049991371E-3</v>
      </c>
      <c r="D22" s="6">
        <f t="shared" si="1"/>
        <v>1.346039238594221E-3</v>
      </c>
      <c r="E22" s="5">
        <f t="shared" si="6"/>
        <v>3.0236236307096931E-2</v>
      </c>
      <c r="F22" s="6">
        <f t="shared" si="7"/>
        <v>7.436773230111049E-3</v>
      </c>
      <c r="G22" s="5">
        <f t="shared" si="2"/>
        <v>4.0926736372597547</v>
      </c>
      <c r="H22" s="5">
        <f t="shared" si="3"/>
        <v>4.088086819383026</v>
      </c>
      <c r="I22" s="5">
        <f t="shared" si="4"/>
        <v>4.084117650851387</v>
      </c>
      <c r="J22" s="5">
        <f t="shared" si="5"/>
        <v>4.0792598532014788</v>
      </c>
    </row>
    <row r="23" spans="1:10" x14ac:dyDescent="0.2">
      <c r="A23" s="9">
        <v>42644</v>
      </c>
      <c r="B23" s="5">
        <f>LN(Endeks!B23)</f>
        <v>4.105778939847764</v>
      </c>
      <c r="C23" s="5">
        <f t="shared" si="0"/>
        <v>9.7690983066023307E-3</v>
      </c>
      <c r="D23" s="6">
        <f t="shared" si="1"/>
        <v>2.3850280357058384E-3</v>
      </c>
      <c r="E23" s="5">
        <f t="shared" si="6"/>
        <v>4.1550001530286984E-2</v>
      </c>
      <c r="F23" s="6">
        <f t="shared" si="7"/>
        <v>1.0223341785339457E-2</v>
      </c>
      <c r="G23" s="5">
        <f t="shared" si="2"/>
        <v>4.0974308814083633</v>
      </c>
      <c r="H23" s="5">
        <f t="shared" si="3"/>
        <v>4.0927090111488873</v>
      </c>
      <c r="I23" s="5">
        <f t="shared" si="4"/>
        <v>4.0873309499587966</v>
      </c>
      <c r="J23" s="5">
        <f t="shared" si="5"/>
        <v>4.0827223533290038</v>
      </c>
    </row>
    <row r="24" spans="1:10" x14ac:dyDescent="0.2">
      <c r="A24" s="9">
        <v>42675</v>
      </c>
      <c r="B24" s="5">
        <f>LN(Endeks!B24)</f>
        <v>4.1112016792885235</v>
      </c>
      <c r="C24" s="5">
        <f t="shared" si="0"/>
        <v>5.4227394407595497E-3</v>
      </c>
      <c r="D24" s="6">
        <f t="shared" si="1"/>
        <v>1.3207577709872798E-3</v>
      </c>
      <c r="E24" s="5">
        <f t="shared" si="6"/>
        <v>4.5256591588120898E-2</v>
      </c>
      <c r="F24" s="6">
        <f t="shared" si="7"/>
        <v>1.1130645055936306E-2</v>
      </c>
      <c r="G24" s="5">
        <f t="shared" si="2"/>
        <v>4.1043301535591494</v>
      </c>
      <c r="H24" s="5">
        <f t="shared" si="3"/>
        <v>4.0971374793578974</v>
      </c>
      <c r="I24" s="5">
        <f t="shared" si="4"/>
        <v>4.0914676062781687</v>
      </c>
      <c r="J24" s="5">
        <f t="shared" si="5"/>
        <v>4.0864937359613478</v>
      </c>
    </row>
    <row r="25" spans="1:10" x14ac:dyDescent="0.2">
      <c r="A25" s="9">
        <v>42705</v>
      </c>
      <c r="B25" s="5">
        <f>LN(Endeks!B25)</f>
        <v>4.1261661745450571</v>
      </c>
      <c r="C25" s="5">
        <f t="shared" si="0"/>
        <v>1.4964495256533539E-2</v>
      </c>
      <c r="D25" s="6">
        <f t="shared" si="1"/>
        <v>3.6399321716378275E-3</v>
      </c>
      <c r="E25" s="5">
        <f t="shared" si="6"/>
        <v>6.2280819807664756E-2</v>
      </c>
      <c r="F25" s="6">
        <f t="shared" si="7"/>
        <v>1.5325437203847825E-2</v>
      </c>
      <c r="G25" s="5">
        <f t="shared" si="2"/>
        <v>4.1143822645604482</v>
      </c>
      <c r="H25" s="5">
        <f t="shared" si="3"/>
        <v>4.1035279509101015</v>
      </c>
      <c r="I25" s="5">
        <f t="shared" si="4"/>
        <v>4.0968519677754998</v>
      </c>
      <c r="J25" s="5">
        <f t="shared" si="5"/>
        <v>4.0916838042786532</v>
      </c>
    </row>
    <row r="26" spans="1:10" x14ac:dyDescent="0.2">
      <c r="A26" s="9">
        <v>42736</v>
      </c>
      <c r="B26" s="5">
        <f>LN(Endeks!B26)</f>
        <v>4.1431347263915326</v>
      </c>
      <c r="C26" s="5">
        <f t="shared" si="0"/>
        <v>1.6968551846475499E-2</v>
      </c>
      <c r="D26" s="6">
        <f t="shared" si="1"/>
        <v>4.1124257067388648E-3</v>
      </c>
      <c r="E26" s="5">
        <f t="shared" si="6"/>
        <v>6.6275478510451791E-2</v>
      </c>
      <c r="F26" s="6">
        <f t="shared" si="7"/>
        <v>1.6256503960713875E-2</v>
      </c>
      <c r="G26" s="5">
        <f t="shared" si="2"/>
        <v>4.1268341934083708</v>
      </c>
      <c r="H26" s="5">
        <f t="shared" si="3"/>
        <v>4.1121325374083666</v>
      </c>
      <c r="I26" s="5">
        <f t="shared" si="4"/>
        <v>4.1040840719020482</v>
      </c>
      <c r="J26" s="5">
        <f t="shared" si="5"/>
        <v>4.09720676082119</v>
      </c>
    </row>
    <row r="27" spans="1:10" x14ac:dyDescent="0.2">
      <c r="A27" s="9">
        <v>42767</v>
      </c>
      <c r="B27" s="5">
        <f>LN(Endeks!B27)</f>
        <v>4.1511973738148837</v>
      </c>
      <c r="C27" s="5">
        <f t="shared" si="0"/>
        <v>8.0626474233511658E-3</v>
      </c>
      <c r="D27" s="6">
        <f t="shared" si="1"/>
        <v>1.946025885181335E-3</v>
      </c>
      <c r="E27" s="5">
        <f t="shared" si="6"/>
        <v>7.7225601400719768E-2</v>
      </c>
      <c r="F27" s="6">
        <f t="shared" si="7"/>
        <v>1.8955850878406455E-2</v>
      </c>
      <c r="G27" s="5">
        <f t="shared" si="2"/>
        <v>4.1401660915838248</v>
      </c>
      <c r="H27" s="5">
        <f t="shared" si="3"/>
        <v>4.1222481225714871</v>
      </c>
      <c r="I27" s="5">
        <f t="shared" si="4"/>
        <v>4.111480350099872</v>
      </c>
      <c r="J27" s="5">
        <f t="shared" si="5"/>
        <v>4.1036422276045821</v>
      </c>
    </row>
    <row r="28" spans="1:10" x14ac:dyDescent="0.2">
      <c r="A28" s="9">
        <v>42795</v>
      </c>
      <c r="B28" s="5">
        <f>LN(Endeks!B28)</f>
        <v>4.1563799531415535</v>
      </c>
      <c r="C28" s="5">
        <f t="shared" si="0"/>
        <v>5.1825793266697673E-3</v>
      </c>
      <c r="D28" s="6">
        <f t="shared" si="1"/>
        <v>1.2484540868522576E-3</v>
      </c>
      <c r="E28" s="5">
        <f t="shared" si="6"/>
        <v>7.8673032072476445E-2</v>
      </c>
      <c r="F28" s="6">
        <f t="shared" si="7"/>
        <v>1.9293449381067918E-2</v>
      </c>
      <c r="G28" s="5">
        <f t="shared" si="2"/>
        <v>4.1502373511159902</v>
      </c>
      <c r="H28" s="5">
        <f t="shared" si="3"/>
        <v>4.1323098078382188</v>
      </c>
      <c r="I28" s="5">
        <f t="shared" si="4"/>
        <v>4.1190977509787308</v>
      </c>
      <c r="J28" s="5">
        <f t="shared" si="5"/>
        <v>4.1101983136106215</v>
      </c>
    </row>
    <row r="29" spans="1:10" x14ac:dyDescent="0.2">
      <c r="A29" s="9">
        <v>42826</v>
      </c>
      <c r="B29" s="5">
        <f>LN(Endeks!B29)</f>
        <v>4.1640260854229085</v>
      </c>
      <c r="C29" s="5">
        <f t="shared" si="0"/>
        <v>7.6461322813550225E-3</v>
      </c>
      <c r="D29" s="6">
        <f t="shared" si="1"/>
        <v>1.8396134057898639E-3</v>
      </c>
      <c r="E29" s="5">
        <f t="shared" si="6"/>
        <v>8.5980296170310666E-2</v>
      </c>
      <c r="F29" s="6">
        <f t="shared" si="7"/>
        <v>2.1083700530510452E-2</v>
      </c>
      <c r="G29" s="5">
        <f t="shared" si="2"/>
        <v>4.1572011374597819</v>
      </c>
      <c r="H29" s="5">
        <f t="shared" si="3"/>
        <v>4.1420176654340759</v>
      </c>
      <c r="I29" s="5">
        <f t="shared" si="4"/>
        <v>4.1271554040921723</v>
      </c>
      <c r="J29" s="5">
        <f t="shared" si="5"/>
        <v>4.117363338291482</v>
      </c>
    </row>
    <row r="30" spans="1:10" x14ac:dyDescent="0.2">
      <c r="A30" s="9">
        <v>42856</v>
      </c>
      <c r="B30" s="5">
        <f>LN(Endeks!B30)</f>
        <v>4.1630929593831949</v>
      </c>
      <c r="C30" s="5">
        <f t="shared" si="0"/>
        <v>-9.3312603971362762E-4</v>
      </c>
      <c r="D30" s="6">
        <f t="shared" si="1"/>
        <v>-2.2409226565134333E-4</v>
      </c>
      <c r="E30" s="5">
        <f t="shared" si="6"/>
        <v>7.8462089348732889E-2</v>
      </c>
      <c r="F30" s="6">
        <f t="shared" si="7"/>
        <v>1.9209101592103206E-2</v>
      </c>
      <c r="G30" s="5">
        <f t="shared" si="2"/>
        <v>4.161166332649219</v>
      </c>
      <c r="H30" s="5">
        <f t="shared" si="3"/>
        <v>4.1506662121165219</v>
      </c>
      <c r="I30" s="5">
        <f t="shared" si="4"/>
        <v>4.1352208592640638</v>
      </c>
      <c r="J30" s="5">
        <f t="shared" si="5"/>
        <v>4.1239018457372092</v>
      </c>
    </row>
    <row r="31" spans="1:10" x14ac:dyDescent="0.2">
      <c r="A31" s="9">
        <v>42887</v>
      </c>
      <c r="B31" s="5">
        <f>LN(Endeks!B31)</f>
        <v>4.1613799635582591</v>
      </c>
      <c r="C31" s="5">
        <f t="shared" si="0"/>
        <v>-1.7129958249357813E-3</v>
      </c>
      <c r="D31" s="6">
        <f t="shared" si="1"/>
        <v>-4.1147191322621346E-4</v>
      </c>
      <c r="E31" s="5">
        <f t="shared" si="6"/>
        <v>7.3556618326423795E-2</v>
      </c>
      <c r="F31" s="6">
        <f t="shared" si="7"/>
        <v>1.7994079517213546E-2</v>
      </c>
      <c r="G31" s="5">
        <f t="shared" si="2"/>
        <v>4.1628330027881209</v>
      </c>
      <c r="H31" s="5">
        <f t="shared" si="3"/>
        <v>4.1565351769520555</v>
      </c>
      <c r="I31" s="5">
        <f t="shared" si="4"/>
        <v>4.1424842061548528</v>
      </c>
      <c r="J31" s="5">
        <f t="shared" si="5"/>
        <v>4.1300315639310785</v>
      </c>
    </row>
    <row r="32" spans="1:10" x14ac:dyDescent="0.2">
      <c r="A32" s="9">
        <v>42917</v>
      </c>
      <c r="B32" s="5">
        <f>LN(Endeks!B32)</f>
        <v>4.1739256248924397</v>
      </c>
      <c r="C32" s="5">
        <f t="shared" si="0"/>
        <v>1.2545661334180558E-2</v>
      </c>
      <c r="D32" s="6">
        <f t="shared" si="1"/>
        <v>3.0147839043885849E-3</v>
      </c>
      <c r="E32" s="5">
        <f t="shared" si="6"/>
        <v>8.2418417490499607E-2</v>
      </c>
      <c r="F32" s="6">
        <f t="shared" si="7"/>
        <v>2.0143779128971584E-2</v>
      </c>
      <c r="G32" s="5">
        <f t="shared" si="2"/>
        <v>4.1661328492779646</v>
      </c>
      <c r="H32" s="5">
        <f t="shared" si="3"/>
        <v>4.1616669933688728</v>
      </c>
      <c r="I32" s="5">
        <f t="shared" si="4"/>
        <v>4.1500560600487058</v>
      </c>
      <c r="J32" s="5">
        <f t="shared" si="5"/>
        <v>4.1368997653886206</v>
      </c>
    </row>
    <row r="33" spans="1:10" x14ac:dyDescent="0.2">
      <c r="A33" s="9">
        <v>42948</v>
      </c>
      <c r="B33" s="5">
        <f>LN(Endeks!B33)</f>
        <v>4.1806751519731211</v>
      </c>
      <c r="C33" s="5">
        <f t="shared" si="0"/>
        <v>6.7495270806814389E-3</v>
      </c>
      <c r="D33" s="6">
        <f t="shared" si="1"/>
        <v>1.617069322085829E-3</v>
      </c>
      <c r="E33" s="5">
        <f t="shared" si="6"/>
        <v>9.0171289136958599E-2</v>
      </c>
      <c r="F33" s="6">
        <f t="shared" si="7"/>
        <v>2.204405426827738E-2</v>
      </c>
      <c r="G33" s="5">
        <f t="shared" si="2"/>
        <v>4.1719935801412733</v>
      </c>
      <c r="H33" s="5">
        <f t="shared" si="3"/>
        <v>4.1665799563952461</v>
      </c>
      <c r="I33" s="5">
        <f t="shared" si="4"/>
        <v>4.157775334791439</v>
      </c>
      <c r="J33" s="5">
        <f t="shared" si="5"/>
        <v>4.1444140394833662</v>
      </c>
    </row>
    <row r="34" spans="1:10" x14ac:dyDescent="0.2">
      <c r="A34" s="9">
        <v>42979</v>
      </c>
      <c r="B34" s="5">
        <f>LN(Endeks!B34)</f>
        <v>4.1892000932347795</v>
      </c>
      <c r="C34" s="5">
        <f t="shared" si="0"/>
        <v>8.5249412616583697E-3</v>
      </c>
      <c r="D34" s="6">
        <f t="shared" si="1"/>
        <v>2.0391302724476201E-3</v>
      </c>
      <c r="E34" s="5">
        <f t="shared" si="6"/>
        <v>9.3190251693617832E-2</v>
      </c>
      <c r="F34" s="6">
        <f t="shared" si="7"/>
        <v>2.2751471626970998E-2</v>
      </c>
      <c r="G34" s="5">
        <f t="shared" si="2"/>
        <v>4.1812669567001128</v>
      </c>
      <c r="H34" s="5">
        <f t="shared" si="3"/>
        <v>4.1720499797441173</v>
      </c>
      <c r="I34" s="5">
        <f t="shared" si="4"/>
        <v>4.1647791035347419</v>
      </c>
      <c r="J34" s="5">
        <f t="shared" si="5"/>
        <v>4.1521798937911685</v>
      </c>
    </row>
    <row r="35" spans="1:10" x14ac:dyDescent="0.2">
      <c r="A35" s="9">
        <v>43009</v>
      </c>
      <c r="B35" s="5">
        <f>LN(Endeks!B35)</f>
        <v>4.2070778322093396</v>
      </c>
      <c r="C35" s="5">
        <f t="shared" si="0"/>
        <v>1.7877738974560131E-2</v>
      </c>
      <c r="D35" s="6">
        <f t="shared" si="1"/>
        <v>4.2675781955201497E-3</v>
      </c>
      <c r="E35" s="5">
        <f t="shared" si="6"/>
        <v>0.10129889236157563</v>
      </c>
      <c r="F35" s="6">
        <f t="shared" si="7"/>
        <v>2.4672271411994684E-2</v>
      </c>
      <c r="G35" s="5">
        <f t="shared" si="2"/>
        <v>4.1923176924724137</v>
      </c>
      <c r="H35" s="5">
        <f t="shared" si="3"/>
        <v>4.1792252708751887</v>
      </c>
      <c r="I35" s="5">
        <f t="shared" si="4"/>
        <v>4.1718838930700537</v>
      </c>
      <c r="J35" s="5">
        <f t="shared" si="5"/>
        <v>4.1606214681546332</v>
      </c>
    </row>
    <row r="36" spans="1:10" x14ac:dyDescent="0.2">
      <c r="A36" s="9">
        <v>43040</v>
      </c>
      <c r="B36" s="5">
        <f>LN(Endeks!B36)</f>
        <v>4.2290211322139806</v>
      </c>
      <c r="C36" s="5">
        <f t="shared" si="0"/>
        <v>2.1943300004640953E-2</v>
      </c>
      <c r="D36" s="6">
        <f t="shared" si="1"/>
        <v>5.215805573322907E-3</v>
      </c>
      <c r="E36" s="5">
        <f t="shared" si="6"/>
        <v>0.11781945292545704</v>
      </c>
      <c r="F36" s="6">
        <f t="shared" si="7"/>
        <v>2.8658154504803246E-2</v>
      </c>
      <c r="G36" s="5">
        <f t="shared" si="2"/>
        <v>4.2084330192193669</v>
      </c>
      <c r="H36" s="5">
        <f t="shared" si="3"/>
        <v>4.1902132996803196</v>
      </c>
      <c r="I36" s="5">
        <f t="shared" si="4"/>
        <v>4.1805309773366197</v>
      </c>
      <c r="J36" s="5">
        <f t="shared" si="5"/>
        <v>4.1704397558984203</v>
      </c>
    </row>
    <row r="37" spans="1:10" x14ac:dyDescent="0.2">
      <c r="A37" s="9">
        <v>43070</v>
      </c>
      <c r="B37" s="5">
        <f>LN(Endeks!B37)</f>
        <v>4.2401750104336404</v>
      </c>
      <c r="C37" s="5">
        <f t="shared" si="0"/>
        <v>1.1153878219659852E-2</v>
      </c>
      <c r="D37" s="6">
        <f t="shared" si="1"/>
        <v>2.6374609799646453E-3</v>
      </c>
      <c r="E37" s="5">
        <f t="shared" si="6"/>
        <v>0.11400883588858335</v>
      </c>
      <c r="F37" s="6">
        <f t="shared" si="7"/>
        <v>2.7630694224561658E-2</v>
      </c>
      <c r="G37" s="5">
        <f t="shared" si="2"/>
        <v>4.2254246582856529</v>
      </c>
      <c r="H37" s="5">
        <f t="shared" si="3"/>
        <v>4.2033458074928829</v>
      </c>
      <c r="I37" s="5">
        <f t="shared" si="4"/>
        <v>4.1898415392579631</v>
      </c>
      <c r="J37" s="5">
        <f t="shared" si="5"/>
        <v>4.1799404922224701</v>
      </c>
    </row>
    <row r="38" spans="1:10" x14ac:dyDescent="0.2">
      <c r="A38" s="9">
        <v>43101</v>
      </c>
      <c r="B38" s="5">
        <f>LN(Endeks!B38)</f>
        <v>4.2736058857194612</v>
      </c>
      <c r="C38" s="5">
        <f t="shared" si="0"/>
        <v>3.3430875285820782E-2</v>
      </c>
      <c r="D38" s="6">
        <f t="shared" si="1"/>
        <v>7.8843149642546795E-3</v>
      </c>
      <c r="E38" s="5">
        <f t="shared" si="6"/>
        <v>0.13047115932792863</v>
      </c>
      <c r="F38" s="6">
        <f t="shared" si="7"/>
        <v>3.14909284742384E-2</v>
      </c>
      <c r="G38" s="5">
        <f t="shared" si="2"/>
        <v>4.247600676122361</v>
      </c>
      <c r="H38" s="5">
        <f t="shared" si="3"/>
        <v>4.2199591842973874</v>
      </c>
      <c r="I38" s="5">
        <f t="shared" si="4"/>
        <v>4.2020170726242467</v>
      </c>
      <c r="J38" s="5">
        <f t="shared" si="5"/>
        <v>4.1908130888331305</v>
      </c>
    </row>
    <row r="39" spans="1:10" x14ac:dyDescent="0.2">
      <c r="A39" s="9">
        <v>43132</v>
      </c>
      <c r="B39" s="5">
        <f>LN(Endeks!B39)</f>
        <v>4.2835865618606288</v>
      </c>
      <c r="C39" s="5">
        <f t="shared" si="0"/>
        <v>9.9806761411675993E-3</v>
      </c>
      <c r="D39" s="6">
        <f t="shared" si="1"/>
        <v>2.3354226870846428E-3</v>
      </c>
      <c r="E39" s="5">
        <f t="shared" si="6"/>
        <v>0.13238918804574507</v>
      </c>
      <c r="F39" s="6">
        <f t="shared" si="7"/>
        <v>3.1891807621780677E-2</v>
      </c>
      <c r="G39" s="5">
        <f t="shared" si="2"/>
        <v>4.2657891526712435</v>
      </c>
      <c r="H39" s="5">
        <f t="shared" si="3"/>
        <v>4.2371110859453056</v>
      </c>
      <c r="I39" s="5">
        <f t="shared" si="4"/>
        <v>4.2154052506772945</v>
      </c>
      <c r="J39" s="5">
        <f t="shared" si="5"/>
        <v>4.2018455211702763</v>
      </c>
    </row>
    <row r="40" spans="1:10" x14ac:dyDescent="0.2">
      <c r="A40" s="9">
        <v>43160</v>
      </c>
      <c r="B40" s="5">
        <f>LN(Endeks!B40)</f>
        <v>4.295651418927136</v>
      </c>
      <c r="C40" s="5">
        <f t="shared" si="0"/>
        <v>1.2064857066507173E-2</v>
      </c>
      <c r="D40" s="6">
        <f t="shared" si="1"/>
        <v>2.8165316358790271E-3</v>
      </c>
      <c r="E40" s="5">
        <f t="shared" si="6"/>
        <v>0.13927146578558247</v>
      </c>
      <c r="F40" s="6">
        <f t="shared" si="7"/>
        <v>3.3507876410652893E-2</v>
      </c>
      <c r="G40" s="5">
        <f t="shared" si="2"/>
        <v>4.284281288835742</v>
      </c>
      <c r="H40" s="5">
        <f t="shared" si="3"/>
        <v>4.2548529735606975</v>
      </c>
      <c r="I40" s="5">
        <f t="shared" si="4"/>
        <v>4.2303243012738356</v>
      </c>
      <c r="J40" s="5">
        <f t="shared" si="5"/>
        <v>4.2134514766524083</v>
      </c>
    </row>
    <row r="41" spans="1:10" x14ac:dyDescent="0.2">
      <c r="A41" s="9">
        <v>43191</v>
      </c>
      <c r="B41" s="5">
        <f>LN(Endeks!B41)</f>
        <v>4.3166877933655412</v>
      </c>
      <c r="C41" s="5">
        <f t="shared" si="0"/>
        <v>2.1036374438405225E-2</v>
      </c>
      <c r="D41" s="6">
        <f t="shared" si="1"/>
        <v>4.8971325619477923E-3</v>
      </c>
      <c r="E41" s="5">
        <f t="shared" si="6"/>
        <v>0.15266170794263267</v>
      </c>
      <c r="F41" s="6">
        <f t="shared" si="7"/>
        <v>3.6662044091668511E-2</v>
      </c>
      <c r="G41" s="5">
        <f t="shared" si="2"/>
        <v>4.2986419247177681</v>
      </c>
      <c r="H41" s="5">
        <f t="shared" si="3"/>
        <v>4.2731213004200645</v>
      </c>
      <c r="I41" s="5">
        <f t="shared" si="4"/>
        <v>4.246186764437514</v>
      </c>
      <c r="J41" s="5">
        <f t="shared" si="5"/>
        <v>4.2261732856476266</v>
      </c>
    </row>
    <row r="42" spans="1:10" x14ac:dyDescent="0.2">
      <c r="A42" s="9">
        <v>43221</v>
      </c>
      <c r="B42" s="5">
        <f>LN(Endeks!B42)</f>
        <v>4.3283621100881886</v>
      </c>
      <c r="C42" s="5">
        <f t="shared" si="0"/>
        <v>1.1674316722647404E-2</v>
      </c>
      <c r="D42" s="6">
        <f t="shared" si="1"/>
        <v>2.7044616802238686E-3</v>
      </c>
      <c r="E42" s="5">
        <f t="shared" si="6"/>
        <v>0.16526915070499371</v>
      </c>
      <c r="F42" s="6">
        <f t="shared" si="7"/>
        <v>3.9698645290274781E-2</v>
      </c>
      <c r="G42" s="5">
        <f t="shared" si="2"/>
        <v>4.3135671074602895</v>
      </c>
      <c r="H42" s="5">
        <f t="shared" si="3"/>
        <v>4.2896781300657665</v>
      </c>
      <c r="I42" s="5">
        <f t="shared" si="4"/>
        <v>4.2625964264502993</v>
      </c>
      <c r="J42" s="5">
        <f t="shared" si="5"/>
        <v>4.2399457148730422</v>
      </c>
    </row>
    <row r="43" spans="1:10" x14ac:dyDescent="0.2">
      <c r="A43" s="9">
        <v>43252</v>
      </c>
      <c r="B43" s="5">
        <f>LN(Endeks!B43)</f>
        <v>4.3393800599524086</v>
      </c>
      <c r="C43" s="5">
        <f t="shared" si="0"/>
        <v>1.101794986422E-2</v>
      </c>
      <c r="D43" s="6">
        <f t="shared" si="1"/>
        <v>2.5455240536691459E-3</v>
      </c>
      <c r="E43" s="5">
        <f t="shared" si="6"/>
        <v>0.17800009639414949</v>
      </c>
      <c r="F43" s="6">
        <f t="shared" si="7"/>
        <v>4.2774295534875328E-2</v>
      </c>
      <c r="G43" s="5">
        <f t="shared" si="2"/>
        <v>4.3281433211353795</v>
      </c>
      <c r="H43" s="5">
        <f t="shared" si="3"/>
        <v>4.3062123049855607</v>
      </c>
      <c r="I43" s="5">
        <f t="shared" si="4"/>
        <v>4.2792830894189251</v>
      </c>
      <c r="J43" s="5">
        <f t="shared" si="5"/>
        <v>4.2547790562392214</v>
      </c>
    </row>
    <row r="44" spans="1:10" x14ac:dyDescent="0.2">
      <c r="A44" s="9">
        <v>43282</v>
      </c>
      <c r="B44" s="5">
        <f>LN(Endeks!B44)</f>
        <v>4.3534985510593431</v>
      </c>
      <c r="C44" s="5">
        <f t="shared" si="0"/>
        <v>1.4118491106934528E-2</v>
      </c>
      <c r="D44" s="6">
        <f t="shared" si="1"/>
        <v>3.2535733012262202E-3</v>
      </c>
      <c r="E44" s="5">
        <f t="shared" si="6"/>
        <v>0.17957292616690346</v>
      </c>
      <c r="F44" s="6">
        <f t="shared" si="7"/>
        <v>4.3022550544735916E-2</v>
      </c>
      <c r="G44" s="5">
        <f t="shared" si="2"/>
        <v>4.3404135736999798</v>
      </c>
      <c r="H44" s="5">
        <f t="shared" si="3"/>
        <v>4.3195277492088744</v>
      </c>
      <c r="I44" s="5">
        <f t="shared" si="4"/>
        <v>4.2955520581800375</v>
      </c>
      <c r="J44" s="5">
        <f t="shared" si="5"/>
        <v>4.2697434667531313</v>
      </c>
    </row>
    <row r="45" spans="1:10" x14ac:dyDescent="0.2">
      <c r="A45" s="9">
        <v>43313</v>
      </c>
      <c r="B45" s="5">
        <f>LN(Endeks!B45)</f>
        <v>4.3908624833362806</v>
      </c>
      <c r="C45" s="5">
        <f t="shared" si="0"/>
        <v>3.7363932276937462E-2</v>
      </c>
      <c r="D45" s="6">
        <f t="shared" si="1"/>
        <v>8.5825071120892993E-3</v>
      </c>
      <c r="E45" s="5">
        <f t="shared" si="6"/>
        <v>0.21018733136315948</v>
      </c>
      <c r="F45" s="6">
        <f t="shared" si="7"/>
        <v>5.027593001670061E-2</v>
      </c>
      <c r="G45" s="5">
        <f t="shared" si="2"/>
        <v>4.3612470314493441</v>
      </c>
      <c r="H45" s="5">
        <f t="shared" si="3"/>
        <v>4.3374070694548168</v>
      </c>
      <c r="I45" s="5">
        <f t="shared" si="4"/>
        <v>4.3135344305269587</v>
      </c>
      <c r="J45" s="5">
        <f t="shared" si="5"/>
        <v>4.2872590777000612</v>
      </c>
    </row>
    <row r="46" spans="1:10" x14ac:dyDescent="0.2">
      <c r="A46" s="9">
        <v>43344</v>
      </c>
      <c r="B46" s="5">
        <f>LN(Endeks!B46)</f>
        <v>4.4247268642059092</v>
      </c>
      <c r="C46" s="5">
        <f t="shared" si="0"/>
        <v>3.3864380869628619E-2</v>
      </c>
      <c r="D46" s="6">
        <f t="shared" si="1"/>
        <v>7.7124667415904291E-3</v>
      </c>
      <c r="E46" s="5">
        <f t="shared" si="6"/>
        <v>0.23552677097112973</v>
      </c>
      <c r="F46" s="6">
        <f t="shared" si="7"/>
        <v>5.6222373180857765E-2</v>
      </c>
      <c r="G46" s="5">
        <f t="shared" si="2"/>
        <v>4.3896959662005104</v>
      </c>
      <c r="H46" s="5">
        <f t="shared" si="3"/>
        <v>4.3589196436679449</v>
      </c>
      <c r="I46" s="5">
        <f t="shared" si="4"/>
        <v>4.3340401920572109</v>
      </c>
      <c r="J46" s="5">
        <f t="shared" si="5"/>
        <v>4.3068863086143212</v>
      </c>
    </row>
    <row r="47" spans="1:10" x14ac:dyDescent="0.2">
      <c r="A47" s="9">
        <v>43374</v>
      </c>
      <c r="B47" s="5">
        <f>LN(Endeks!B47)</f>
        <v>4.4515526973224917</v>
      </c>
      <c r="C47" s="5">
        <f t="shared" si="0"/>
        <v>2.6825833116582487E-2</v>
      </c>
      <c r="D47" s="6">
        <f t="shared" si="1"/>
        <v>6.0627093919833897E-3</v>
      </c>
      <c r="E47" s="5">
        <f t="shared" si="6"/>
        <v>0.24447486511315208</v>
      </c>
      <c r="F47" s="6">
        <f t="shared" si="7"/>
        <v>5.8110373723408548E-2</v>
      </c>
      <c r="G47" s="5">
        <f t="shared" si="2"/>
        <v>4.4223806816215605</v>
      </c>
      <c r="H47" s="5">
        <f t="shared" si="3"/>
        <v>4.3813971276607697</v>
      </c>
      <c r="I47" s="5">
        <f t="shared" si="4"/>
        <v>4.3538120600131025</v>
      </c>
      <c r="J47" s="5">
        <f t="shared" si="5"/>
        <v>4.327259214040418</v>
      </c>
    </row>
    <row r="48" spans="1:10" x14ac:dyDescent="0.2">
      <c r="A48" s="9">
        <v>43405</v>
      </c>
      <c r="B48" s="5">
        <f>LN(Endeks!B48)</f>
        <v>4.4523685957301282</v>
      </c>
      <c r="C48" s="5">
        <f t="shared" si="0"/>
        <v>8.1589840763651722E-4</v>
      </c>
      <c r="D48" s="6">
        <f t="shared" si="1"/>
        <v>1.8328400518030641E-4</v>
      </c>
      <c r="E48" s="5">
        <f t="shared" si="6"/>
        <v>0.22334746351614765</v>
      </c>
      <c r="F48" s="6">
        <f t="shared" si="7"/>
        <v>5.2813040307325254E-2</v>
      </c>
      <c r="G48" s="5">
        <f t="shared" si="2"/>
        <v>4.4428827190861764</v>
      </c>
      <c r="H48" s="5">
        <f t="shared" si="3"/>
        <v>4.4020648752677598</v>
      </c>
      <c r="I48" s="5">
        <f t="shared" si="4"/>
        <v>4.3725656193319367</v>
      </c>
      <c r="J48" s="5">
        <f t="shared" si="5"/>
        <v>4.3458715026667631</v>
      </c>
    </row>
    <row r="49" spans="1:10" x14ac:dyDescent="0.2">
      <c r="A49" s="9">
        <v>43435</v>
      </c>
      <c r="B49" s="5">
        <f>LN(Endeks!B49)</f>
        <v>4.4460572143310184</v>
      </c>
      <c r="C49" s="5">
        <f t="shared" si="0"/>
        <v>-6.3113813991098056E-3</v>
      </c>
      <c r="D49" s="6">
        <f t="shared" si="1"/>
        <v>-1.4175334461666855E-3</v>
      </c>
      <c r="E49" s="5">
        <f t="shared" si="6"/>
        <v>0.20588220389737799</v>
      </c>
      <c r="F49" s="6">
        <f t="shared" si="7"/>
        <v>4.8555119397376556E-2</v>
      </c>
      <c r="G49" s="5">
        <f t="shared" si="2"/>
        <v>4.4499928357945455</v>
      </c>
      <c r="H49" s="5">
        <f t="shared" si="3"/>
        <v>4.4198444009975288</v>
      </c>
      <c r="I49" s="5">
        <f t="shared" si="4"/>
        <v>4.389277374376813</v>
      </c>
      <c r="J49" s="5">
        <f t="shared" si="5"/>
        <v>4.3630283529915443</v>
      </c>
    </row>
    <row r="50" spans="1:10" x14ac:dyDescent="0.2">
      <c r="A50" s="9">
        <v>43466</v>
      </c>
      <c r="B50" s="5">
        <f>LN(Endeks!B50)</f>
        <v>4.4677455100764192</v>
      </c>
      <c r="C50" s="5">
        <f t="shared" si="0"/>
        <v>2.1688295745400765E-2</v>
      </c>
      <c r="D50" s="6">
        <f t="shared" si="1"/>
        <v>4.8780964121408754E-3</v>
      </c>
      <c r="E50" s="5">
        <f t="shared" si="6"/>
        <v>0.19413962435695797</v>
      </c>
      <c r="F50" s="6">
        <f t="shared" si="7"/>
        <v>4.5427591955937929E-2</v>
      </c>
      <c r="G50" s="5">
        <f t="shared" si="2"/>
        <v>4.4553904400458553</v>
      </c>
      <c r="H50" s="5">
        <f t="shared" si="3"/>
        <v>4.4388855608337074</v>
      </c>
      <c r="I50" s="5">
        <f t="shared" si="4"/>
        <v>4.4060615651224655</v>
      </c>
      <c r="J50" s="5">
        <f t="shared" si="5"/>
        <v>4.3792066550212914</v>
      </c>
    </row>
    <row r="51" spans="1:10" x14ac:dyDescent="0.2">
      <c r="A51" s="9">
        <v>43497</v>
      </c>
      <c r="B51" s="5">
        <f>LN(Endeks!B51)</f>
        <v>4.4726668361749979</v>
      </c>
      <c r="C51" s="5">
        <f t="shared" si="0"/>
        <v>4.9213260985787599E-3</v>
      </c>
      <c r="D51" s="6">
        <f t="shared" si="1"/>
        <v>1.1015233717943662E-3</v>
      </c>
      <c r="E51" s="5">
        <f t="shared" si="6"/>
        <v>0.18908027431436913</v>
      </c>
      <c r="F51" s="6">
        <f t="shared" si="7"/>
        <v>4.4140645130850364E-2</v>
      </c>
      <c r="G51" s="5">
        <f t="shared" si="2"/>
        <v>4.4621565201941449</v>
      </c>
      <c r="H51" s="5">
        <f t="shared" si="3"/>
        <v>4.4525196196401611</v>
      </c>
      <c r="I51" s="5">
        <f t="shared" si="4"/>
        <v>4.4220954235765548</v>
      </c>
      <c r="J51" s="5">
        <f t="shared" si="5"/>
        <v>4.3949633445474889</v>
      </c>
    </row>
    <row r="52" spans="1:10" x14ac:dyDescent="0.2">
      <c r="A52" s="9">
        <v>43525</v>
      </c>
      <c r="B52" s="5">
        <f>LN(Endeks!B52)</f>
        <v>4.4859360980643936</v>
      </c>
      <c r="C52" s="5">
        <f t="shared" si="0"/>
        <v>1.32692618893957E-2</v>
      </c>
      <c r="D52" s="6">
        <f t="shared" si="1"/>
        <v>2.9667449813328695E-3</v>
      </c>
      <c r="E52" s="5">
        <f t="shared" si="6"/>
        <v>0.19028467913725766</v>
      </c>
      <c r="F52" s="6">
        <f t="shared" si="7"/>
        <v>4.4297048475311795E-2</v>
      </c>
      <c r="G52" s="5">
        <f t="shared" si="2"/>
        <v>4.475449481438603</v>
      </c>
      <c r="H52" s="5">
        <f t="shared" si="3"/>
        <v>4.4627211586165751</v>
      </c>
      <c r="I52" s="5">
        <f t="shared" si="4"/>
        <v>4.4383794278112205</v>
      </c>
      <c r="J52" s="5">
        <f t="shared" si="5"/>
        <v>4.4108204011422609</v>
      </c>
    </row>
    <row r="53" spans="1:10" x14ac:dyDescent="0.2">
      <c r="A53" s="9">
        <v>43556</v>
      </c>
      <c r="B53" s="5">
        <f>LN(Endeks!B53)</f>
        <v>4.494350350882848</v>
      </c>
      <c r="C53" s="5">
        <f t="shared" si="0"/>
        <v>8.4142528184543153E-3</v>
      </c>
      <c r="D53" s="6">
        <f t="shared" si="1"/>
        <v>1.8756960943078216E-3</v>
      </c>
      <c r="E53" s="5">
        <f t="shared" si="6"/>
        <v>0.17766255751730675</v>
      </c>
      <c r="F53" s="6">
        <f t="shared" si="7"/>
        <v>4.1157147799839144E-2</v>
      </c>
      <c r="G53" s="5">
        <f t="shared" si="2"/>
        <v>4.4843177617074126</v>
      </c>
      <c r="H53" s="5">
        <f t="shared" si="3"/>
        <v>4.4698541008766339</v>
      </c>
      <c r="I53" s="5">
        <f t="shared" si="4"/>
        <v>4.4540296277916092</v>
      </c>
      <c r="J53" s="5">
        <f t="shared" si="5"/>
        <v>4.4256256142687027</v>
      </c>
    </row>
    <row r="54" spans="1:10" x14ac:dyDescent="0.2">
      <c r="A54" s="9">
        <v>43586</v>
      </c>
      <c r="B54" s="5">
        <f>LN(Endeks!B54)</f>
        <v>4.5095399549728414</v>
      </c>
      <c r="C54" s="5">
        <f t="shared" si="0"/>
        <v>1.518960408999348E-2</v>
      </c>
      <c r="D54" s="6">
        <f t="shared" si="1"/>
        <v>3.3797107266035908E-3</v>
      </c>
      <c r="E54" s="5">
        <f t="shared" si="6"/>
        <v>0.18117784488465283</v>
      </c>
      <c r="F54" s="6">
        <f t="shared" si="7"/>
        <v>4.1858291953526416E-2</v>
      </c>
      <c r="G54" s="5">
        <f t="shared" si="2"/>
        <v>4.4966088013066949</v>
      </c>
      <c r="H54" s="5">
        <f t="shared" si="3"/>
        <v>4.4793826607504199</v>
      </c>
      <c r="I54" s="5">
        <f t="shared" si="4"/>
        <v>4.467216013529006</v>
      </c>
      <c r="J54" s="5">
        <f t="shared" si="5"/>
        <v>4.4407237680090903</v>
      </c>
    </row>
    <row r="55" spans="1:10" x14ac:dyDescent="0.2">
      <c r="A55" s="9">
        <v>43617</v>
      </c>
      <c r="B55" s="5">
        <f>LN(Endeks!B55)</f>
        <v>4.5098700061337667</v>
      </c>
      <c r="C55" s="5">
        <f t="shared" si="0"/>
        <v>3.3005116092521547E-4</v>
      </c>
      <c r="D55" s="6">
        <f t="shared" si="1"/>
        <v>7.3189541332618901E-5</v>
      </c>
      <c r="E55" s="5">
        <f t="shared" si="6"/>
        <v>0.17048994618135804</v>
      </c>
      <c r="F55" s="6">
        <f t="shared" si="7"/>
        <v>3.9289009910606465E-2</v>
      </c>
      <c r="G55" s="5">
        <f t="shared" si="2"/>
        <v>4.5045867706631517</v>
      </c>
      <c r="H55" s="5">
        <f t="shared" si="3"/>
        <v>4.4900181260508774</v>
      </c>
      <c r="I55" s="5">
        <f t="shared" si="4"/>
        <v>4.4766763626321007</v>
      </c>
      <c r="J55" s="5">
        <f t="shared" si="5"/>
        <v>4.4549312635242035</v>
      </c>
    </row>
    <row r="56" spans="1:10" x14ac:dyDescent="0.2">
      <c r="A56" s="9">
        <v>43647</v>
      </c>
      <c r="B56" s="5">
        <f>LN(Endeks!B56)</f>
        <v>4.5162296766914443</v>
      </c>
      <c r="C56" s="5">
        <f t="shared" si="0"/>
        <v>6.3596705576776102E-3</v>
      </c>
      <c r="D56" s="6">
        <f t="shared" si="1"/>
        <v>1.4101671553787831E-3</v>
      </c>
      <c r="E56" s="5">
        <f t="shared" si="6"/>
        <v>0.16273112563210113</v>
      </c>
      <c r="F56" s="6">
        <f t="shared" si="7"/>
        <v>3.7379391246725735E-2</v>
      </c>
      <c r="G56" s="5">
        <f t="shared" si="2"/>
        <v>4.5118798792660177</v>
      </c>
      <c r="H56" s="5">
        <f t="shared" si="3"/>
        <v>4.4980988204867147</v>
      </c>
      <c r="I56" s="5">
        <f t="shared" si="4"/>
        <v>4.4838626936730943</v>
      </c>
      <c r="J56" s="5">
        <f t="shared" si="5"/>
        <v>4.4684921906602115</v>
      </c>
    </row>
    <row r="57" spans="1:10" x14ac:dyDescent="0.2">
      <c r="A57" s="9">
        <v>43678</v>
      </c>
      <c r="B57" s="5">
        <f>LN(Endeks!B57)</f>
        <v>4.5176495884585961</v>
      </c>
      <c r="C57" s="5">
        <f t="shared" si="0"/>
        <v>1.419911767151838E-3</v>
      </c>
      <c r="D57" s="6">
        <f t="shared" si="1"/>
        <v>3.1440202753207913E-4</v>
      </c>
      <c r="E57" s="5">
        <f t="shared" si="6"/>
        <v>0.1267871051223155</v>
      </c>
      <c r="F57" s="6">
        <f t="shared" si="7"/>
        <v>2.887521656701475E-2</v>
      </c>
      <c r="G57" s="5">
        <f t="shared" si="2"/>
        <v>4.5145830904279363</v>
      </c>
      <c r="H57" s="5">
        <f t="shared" si="3"/>
        <v>4.5055959458673156</v>
      </c>
      <c r="I57" s="5">
        <f t="shared" si="4"/>
        <v>4.491116137309592</v>
      </c>
      <c r="J57" s="5">
        <f t="shared" si="5"/>
        <v>4.4790577827537383</v>
      </c>
    </row>
    <row r="58" spans="1:10" x14ac:dyDescent="0.2">
      <c r="A58" s="9">
        <v>43709</v>
      </c>
      <c r="B58" s="5">
        <f>LN(Endeks!B58)</f>
        <v>4.517540436027117</v>
      </c>
      <c r="C58" s="5">
        <f t="shared" si="0"/>
        <v>-1.0915243147913145E-4</v>
      </c>
      <c r="D58" s="6">
        <f t="shared" si="1"/>
        <v>-2.4161331980687706E-5</v>
      </c>
      <c r="E58" s="5">
        <f t="shared" si="6"/>
        <v>9.2813571821207752E-2</v>
      </c>
      <c r="F58" s="6">
        <f t="shared" si="7"/>
        <v>2.0976113253911466E-2</v>
      </c>
      <c r="G58" s="5">
        <f t="shared" si="2"/>
        <v>4.5171399003923858</v>
      </c>
      <c r="H58" s="5">
        <f t="shared" si="3"/>
        <v>4.5108633355277687</v>
      </c>
      <c r="I58" s="5">
        <f t="shared" si="4"/>
        <v>4.4990587174980474</v>
      </c>
      <c r="J58" s="5">
        <f t="shared" si="5"/>
        <v>4.4867922470721719</v>
      </c>
    </row>
    <row r="59" spans="1:10" x14ac:dyDescent="0.2">
      <c r="A59" s="9">
        <v>43739</v>
      </c>
      <c r="B59" s="5">
        <f>LN(Endeks!B59)</f>
        <v>4.5265597854061799</v>
      </c>
      <c r="C59" s="5">
        <f t="shared" si="0"/>
        <v>9.019349379062902E-3</v>
      </c>
      <c r="D59" s="6">
        <f t="shared" si="1"/>
        <v>1.996517686291055E-3</v>
      </c>
      <c r="E59" s="5">
        <f t="shared" si="6"/>
        <v>7.5007088083688167E-2</v>
      </c>
      <c r="F59" s="6">
        <f t="shared" si="7"/>
        <v>1.6849646220924885E-2</v>
      </c>
      <c r="G59" s="5">
        <f t="shared" si="2"/>
        <v>4.5205832699639643</v>
      </c>
      <c r="H59" s="5">
        <f t="shared" si="3"/>
        <v>4.5162315746149906</v>
      </c>
      <c r="I59" s="5">
        <f t="shared" si="4"/>
        <v>4.5055936369791318</v>
      </c>
      <c r="J59" s="5">
        <f t="shared" si="5"/>
        <v>4.4930428377458123</v>
      </c>
    </row>
    <row r="60" spans="1:10" x14ac:dyDescent="0.2">
      <c r="A60" s="9">
        <v>43770</v>
      </c>
      <c r="B60" s="5">
        <f>LN(Endeks!B60)</f>
        <v>4.5345331063886505</v>
      </c>
      <c r="C60" s="5">
        <f t="shared" si="0"/>
        <v>7.9733209824706108E-3</v>
      </c>
      <c r="D60" s="6">
        <f t="shared" si="1"/>
        <v>1.761452705910882E-3</v>
      </c>
      <c r="E60" s="5">
        <f t="shared" si="6"/>
        <v>8.2164510658522261E-2</v>
      </c>
      <c r="F60" s="6">
        <f t="shared" si="7"/>
        <v>1.8454112432946035E-2</v>
      </c>
      <c r="G60" s="5">
        <f t="shared" si="2"/>
        <v>4.5262111092739827</v>
      </c>
      <c r="H60" s="5">
        <f t="shared" si="3"/>
        <v>4.5203970998509595</v>
      </c>
      <c r="I60" s="5">
        <f t="shared" si="4"/>
        <v>4.5124676670028707</v>
      </c>
      <c r="J60" s="5">
        <f t="shared" si="5"/>
        <v>4.4998898803006897</v>
      </c>
    </row>
    <row r="61" spans="1:10" x14ac:dyDescent="0.2">
      <c r="A61" s="9">
        <v>43800</v>
      </c>
      <c r="B61" s="5">
        <f>LN(Endeks!B61)</f>
        <v>4.5427627258594745</v>
      </c>
      <c r="C61" s="5">
        <f t="shared" si="0"/>
        <v>8.2296194708240122E-3</v>
      </c>
      <c r="D61" s="6">
        <f t="shared" si="1"/>
        <v>1.8148769184702651E-3</v>
      </c>
      <c r="E61" s="5">
        <f t="shared" si="6"/>
        <v>9.6705511528456078E-2</v>
      </c>
      <c r="F61" s="6">
        <f t="shared" si="7"/>
        <v>2.1750847293809938E-2</v>
      </c>
      <c r="G61" s="5">
        <f t="shared" si="2"/>
        <v>4.5346185392181013</v>
      </c>
      <c r="H61" s="5">
        <f t="shared" si="3"/>
        <v>4.525879219805244</v>
      </c>
      <c r="I61" s="5">
        <f t="shared" si="4"/>
        <v>4.5187817367578793</v>
      </c>
      <c r="J61" s="5">
        <f t="shared" si="5"/>
        <v>4.5079486729280607</v>
      </c>
    </row>
    <row r="62" spans="1:10" x14ac:dyDescent="0.2">
      <c r="A62" s="9">
        <v>43831</v>
      </c>
      <c r="B62" s="5">
        <f>LN(Endeks!B62)</f>
        <v>4.5533504372582954</v>
      </c>
      <c r="C62" s="5">
        <f t="shared" si="0"/>
        <v>1.0587711398820865E-2</v>
      </c>
      <c r="D62" s="6">
        <f t="shared" si="1"/>
        <v>2.3306767352277991E-3</v>
      </c>
      <c r="E62" s="5">
        <f t="shared" si="6"/>
        <v>8.5604927181876178E-2</v>
      </c>
      <c r="F62" s="6">
        <f t="shared" si="7"/>
        <v>1.9160654291701551E-2</v>
      </c>
      <c r="G62" s="5">
        <f t="shared" si="2"/>
        <v>4.5435487565021404</v>
      </c>
      <c r="H62" s="5">
        <f t="shared" si="3"/>
        <v>4.5320660132330524</v>
      </c>
      <c r="I62" s="5">
        <f t="shared" si="4"/>
        <v>4.5253373019107066</v>
      </c>
      <c r="J62" s="5">
        <f t="shared" si="5"/>
        <v>4.515082416859884</v>
      </c>
    </row>
    <row r="63" spans="1:10" x14ac:dyDescent="0.2">
      <c r="A63" s="9">
        <v>43862</v>
      </c>
      <c r="B63" s="5">
        <f>LN(Endeks!B63)</f>
        <v>4.5575543320464282</v>
      </c>
      <c r="C63" s="5">
        <f t="shared" si="0"/>
        <v>4.2038947881328781E-3</v>
      </c>
      <c r="D63" s="6">
        <f t="shared" si="1"/>
        <v>9.2325307398577472E-4</v>
      </c>
      <c r="E63" s="5">
        <f t="shared" si="6"/>
        <v>8.4887495871430296E-2</v>
      </c>
      <c r="F63" s="6">
        <f t="shared" si="7"/>
        <v>1.8979168129595214E-2</v>
      </c>
      <c r="G63" s="5">
        <f t="shared" si="2"/>
        <v>4.5512224983880669</v>
      </c>
      <c r="H63" s="5">
        <f t="shared" si="3"/>
        <v>4.5387168038310248</v>
      </c>
      <c r="I63" s="5">
        <f t="shared" si="4"/>
        <v>4.530672232696662</v>
      </c>
      <c r="J63" s="5">
        <f t="shared" si="5"/>
        <v>4.5221563748491702</v>
      </c>
    </row>
    <row r="64" spans="1:10" x14ac:dyDescent="0.2">
      <c r="A64" s="9">
        <v>43891</v>
      </c>
      <c r="B64" s="5">
        <f>LN(Endeks!B64)</f>
        <v>4.5613227862078149</v>
      </c>
      <c r="C64" s="5">
        <f t="shared" si="0"/>
        <v>3.768454161386714E-3</v>
      </c>
      <c r="D64" s="6">
        <f t="shared" si="1"/>
        <v>8.2685885605116027E-4</v>
      </c>
      <c r="E64" s="5">
        <f t="shared" si="6"/>
        <v>7.538668814342131E-2</v>
      </c>
      <c r="F64" s="6">
        <f t="shared" si="7"/>
        <v>1.6805118596305846E-2</v>
      </c>
      <c r="G64" s="5">
        <f t="shared" si="2"/>
        <v>4.5574091851708465</v>
      </c>
      <c r="H64" s="5">
        <f t="shared" si="3"/>
        <v>4.5460138621944735</v>
      </c>
      <c r="I64" s="5">
        <f t="shared" si="4"/>
        <v>4.5363892082604451</v>
      </c>
      <c r="J64" s="5">
        <f t="shared" si="5"/>
        <v>4.5284385988611211</v>
      </c>
    </row>
    <row r="65" spans="1:10" x14ac:dyDescent="0.2">
      <c r="A65" s="9">
        <v>43922</v>
      </c>
      <c r="B65" s="5">
        <f>LN(Endeks!B65)</f>
        <v>4.5728535845115479</v>
      </c>
      <c r="C65" s="5">
        <f t="shared" si="0"/>
        <v>1.1530798303732936E-2</v>
      </c>
      <c r="D65" s="6">
        <f t="shared" si="1"/>
        <v>2.5279505187834062E-3</v>
      </c>
      <c r="E65" s="5">
        <f t="shared" si="6"/>
        <v>7.8503233628699931E-2</v>
      </c>
      <c r="F65" s="6">
        <f t="shared" si="7"/>
        <v>1.7467092571739284E-2</v>
      </c>
      <c r="G65" s="5">
        <f t="shared" si="2"/>
        <v>4.563910234255264</v>
      </c>
      <c r="H65" s="5">
        <f t="shared" si="3"/>
        <v>4.5537294953787022</v>
      </c>
      <c r="I65" s="5">
        <f t="shared" si="4"/>
        <v>4.5426807535737899</v>
      </c>
      <c r="J65" s="5">
        <f t="shared" si="5"/>
        <v>4.5349805349968468</v>
      </c>
    </row>
    <row r="66" spans="1:10" x14ac:dyDescent="0.2">
      <c r="A66" s="9">
        <v>43952</v>
      </c>
      <c r="B66" s="5">
        <f>LN(Endeks!B66)</f>
        <v>4.5757413752972793</v>
      </c>
      <c r="C66" s="5">
        <f t="shared" si="0"/>
        <v>2.8877907857314256E-3</v>
      </c>
      <c r="D66" s="6">
        <f t="shared" si="1"/>
        <v>6.3150737988038053E-4</v>
      </c>
      <c r="E66" s="5">
        <f t="shared" si="6"/>
        <v>6.6201420324437876E-2</v>
      </c>
      <c r="F66" s="6">
        <f t="shared" si="7"/>
        <v>1.4680304639819175E-2</v>
      </c>
      <c r="G66" s="5">
        <f t="shared" si="2"/>
        <v>4.5699725820055477</v>
      </c>
      <c r="H66" s="5">
        <f t="shared" si="3"/>
        <v>4.5605975401968069</v>
      </c>
      <c r="I66" s="5">
        <f t="shared" si="4"/>
        <v>4.5491353965558652</v>
      </c>
      <c r="J66" s="5">
        <f t="shared" si="5"/>
        <v>4.5404973200238832</v>
      </c>
    </row>
    <row r="67" spans="1:10" x14ac:dyDescent="0.2">
      <c r="A67" s="9">
        <v>43983</v>
      </c>
      <c r="B67" s="5">
        <f>LN(Endeks!B67)</f>
        <v>4.5748140659731922</v>
      </c>
      <c r="C67" s="5">
        <f t="shared" si="0"/>
        <v>-9.2730932408713329E-4</v>
      </c>
      <c r="D67" s="6">
        <f t="shared" si="1"/>
        <v>-2.0265772211103261E-4</v>
      </c>
      <c r="E67" s="5">
        <f t="shared" si="6"/>
        <v>6.4944059839425528E-2</v>
      </c>
      <c r="F67" s="6">
        <f t="shared" si="7"/>
        <v>1.4400428338532389E-2</v>
      </c>
      <c r="G67" s="5">
        <f t="shared" si="2"/>
        <v>4.5744696752606728</v>
      </c>
      <c r="H67" s="5">
        <f t="shared" si="3"/>
        <v>4.5659394302157601</v>
      </c>
      <c r="I67" s="5">
        <f t="shared" si="4"/>
        <v>4.5554991332165402</v>
      </c>
      <c r="J67" s="5">
        <f t="shared" si="5"/>
        <v>4.545909325010502</v>
      </c>
    </row>
    <row r="68" spans="1:10" x14ac:dyDescent="0.2">
      <c r="A68" s="9">
        <v>44013</v>
      </c>
      <c r="B68" s="5">
        <f>LN(Endeks!B68)</f>
        <v>4.5822085743507444</v>
      </c>
      <c r="C68" s="5">
        <f t="shared" ref="C68:C131" si="8">B68-B67</f>
        <v>7.394508377552178E-3</v>
      </c>
      <c r="D68" s="6">
        <f t="shared" ref="D68:D131" si="9">B68/B67-1</f>
        <v>1.6163516748257667E-3</v>
      </c>
      <c r="E68" s="5">
        <f t="shared" si="6"/>
        <v>6.5978897659300095E-2</v>
      </c>
      <c r="F68" s="6">
        <f t="shared" si="7"/>
        <v>1.4609287477078903E-2</v>
      </c>
      <c r="G68" s="5">
        <f t="shared" si="2"/>
        <v>4.5775880052070717</v>
      </c>
      <c r="H68" s="5">
        <f t="shared" si="3"/>
        <v>4.5707491197311683</v>
      </c>
      <c r="I68" s="5">
        <f t="shared" si="4"/>
        <v>4.561682331988159</v>
      </c>
      <c r="J68" s="5">
        <f t="shared" si="5"/>
        <v>4.5514075664821103</v>
      </c>
    </row>
    <row r="69" spans="1:10" x14ac:dyDescent="0.2">
      <c r="A69" s="9">
        <v>44044</v>
      </c>
      <c r="B69" s="5">
        <f>LN(Endeks!B69)</f>
        <v>4.5999566189352041</v>
      </c>
      <c r="C69" s="5">
        <f t="shared" si="8"/>
        <v>1.7748044584459777E-2</v>
      </c>
      <c r="D69" s="6">
        <f t="shared" si="9"/>
        <v>3.8732511400301206E-3</v>
      </c>
      <c r="E69" s="5">
        <f t="shared" si="6"/>
        <v>8.2307030476608034E-2</v>
      </c>
      <c r="F69" s="6">
        <f t="shared" si="7"/>
        <v>1.8218993940318118E-2</v>
      </c>
      <c r="G69" s="5">
        <f t="shared" ref="G69:G132" si="10">AVERAGE(B67:B69)</f>
        <v>4.5856597530863805</v>
      </c>
      <c r="H69" s="5">
        <f t="shared" si="3"/>
        <v>4.5778161675459641</v>
      </c>
      <c r="I69" s="5">
        <f t="shared" si="4"/>
        <v>4.5689516111599984</v>
      </c>
      <c r="J69" s="5">
        <f t="shared" si="5"/>
        <v>4.5582664856884936</v>
      </c>
    </row>
    <row r="70" spans="1:10" x14ac:dyDescent="0.2">
      <c r="A70" s="9">
        <v>44075</v>
      </c>
      <c r="B70" s="5">
        <f>LN(Endeks!B70)</f>
        <v>4.62015731579634</v>
      </c>
      <c r="C70" s="5">
        <f t="shared" si="8"/>
        <v>2.0200696861135903E-2</v>
      </c>
      <c r="D70" s="6">
        <f t="shared" si="9"/>
        <v>4.3914972541223563E-3</v>
      </c>
      <c r="E70" s="5">
        <f t="shared" si="6"/>
        <v>0.10261687976922307</v>
      </c>
      <c r="F70" s="6">
        <f t="shared" si="7"/>
        <v>2.2715210018013243E-2</v>
      </c>
      <c r="G70" s="5">
        <f t="shared" si="10"/>
        <v>4.6007741696940956</v>
      </c>
      <c r="H70" s="5">
        <f t="shared" si="3"/>
        <v>4.5876219224773847</v>
      </c>
      <c r="I70" s="5">
        <f t="shared" si="4"/>
        <v>4.5775510100418719</v>
      </c>
      <c r="J70" s="5">
        <f t="shared" si="5"/>
        <v>4.5668178923359291</v>
      </c>
    </row>
    <row r="71" spans="1:10" x14ac:dyDescent="0.2">
      <c r="A71" s="9">
        <v>44105</v>
      </c>
      <c r="B71" s="5">
        <f>LN(Endeks!B71)</f>
        <v>4.6530075154022512</v>
      </c>
      <c r="C71" s="5">
        <f t="shared" si="8"/>
        <v>3.2850199605911179E-2</v>
      </c>
      <c r="D71" s="6">
        <f t="shared" si="9"/>
        <v>7.1101907057571356E-3</v>
      </c>
      <c r="E71" s="5">
        <f t="shared" si="6"/>
        <v>0.12644772999607135</v>
      </c>
      <c r="F71" s="6">
        <f t="shared" si="7"/>
        <v>2.7934620548643707E-2</v>
      </c>
      <c r="G71" s="5">
        <f t="shared" si="10"/>
        <v>4.6243738167112651</v>
      </c>
      <c r="H71" s="5">
        <f t="shared" si="3"/>
        <v>4.6009809109591684</v>
      </c>
      <c r="I71" s="5">
        <f t="shared" si="4"/>
        <v>4.5886240187245342</v>
      </c>
      <c r="J71" s="5">
        <f t="shared" si="5"/>
        <v>4.5773552031689357</v>
      </c>
    </row>
    <row r="72" spans="1:10" x14ac:dyDescent="0.2">
      <c r="A72" s="9">
        <v>44136</v>
      </c>
      <c r="B72" s="5">
        <f>LN(Endeks!B72)</f>
        <v>4.6861048034840902</v>
      </c>
      <c r="C72" s="5">
        <f t="shared" si="8"/>
        <v>3.3097288081838983E-2</v>
      </c>
      <c r="D72" s="6">
        <f t="shared" si="9"/>
        <v>7.1130957713438914E-3</v>
      </c>
      <c r="E72" s="5">
        <f t="shared" si="6"/>
        <v>0.15157169709543972</v>
      </c>
      <c r="F72" s="6">
        <f t="shared" si="7"/>
        <v>3.3426086774378527E-2</v>
      </c>
      <c r="G72" s="5">
        <f t="shared" si="10"/>
        <v>4.6530898782275605</v>
      </c>
      <c r="H72" s="5">
        <f t="shared" ref="H72:H135" si="11">AVERAGE(B67:B72)</f>
        <v>4.6193748156569709</v>
      </c>
      <c r="I72" s="5">
        <f t="shared" si="4"/>
        <v>4.6029074044398293</v>
      </c>
      <c r="J72" s="5">
        <f t="shared" si="5"/>
        <v>4.5899861779268889</v>
      </c>
    </row>
    <row r="73" spans="1:10" x14ac:dyDescent="0.2">
      <c r="A73" s="9">
        <v>44166</v>
      </c>
      <c r="B73" s="5">
        <f>LN(Endeks!B73)</f>
        <v>4.7097103652620156</v>
      </c>
      <c r="C73" s="5">
        <f t="shared" si="8"/>
        <v>2.3605561777925388E-2</v>
      </c>
      <c r="D73" s="6">
        <f t="shared" si="9"/>
        <v>5.037352506579662E-3</v>
      </c>
      <c r="E73" s="5">
        <f t="shared" si="6"/>
        <v>0.16694763940254109</v>
      </c>
      <c r="F73" s="6">
        <f t="shared" si="7"/>
        <v>3.67502441745855E-2</v>
      </c>
      <c r="G73" s="5">
        <f t="shared" si="10"/>
        <v>4.6829408947161193</v>
      </c>
      <c r="H73" s="5">
        <f t="shared" si="11"/>
        <v>4.6418575322051074</v>
      </c>
      <c r="I73" s="5">
        <f t="shared" si="4"/>
        <v>4.6193949132236298</v>
      </c>
      <c r="J73" s="5">
        <f t="shared" si="5"/>
        <v>4.6038984812104333</v>
      </c>
    </row>
    <row r="74" spans="1:10" x14ac:dyDescent="0.2">
      <c r="A74" s="9">
        <v>44197</v>
      </c>
      <c r="B74" s="5">
        <f>LN(Endeks!B74)</f>
        <v>4.735935255867644</v>
      </c>
      <c r="C74" s="5">
        <f t="shared" si="8"/>
        <v>2.6224890605628381E-2</v>
      </c>
      <c r="D74" s="6">
        <f t="shared" si="9"/>
        <v>5.5682597382331611E-3</v>
      </c>
      <c r="E74" s="5">
        <f t="shared" si="6"/>
        <v>0.18258481860934861</v>
      </c>
      <c r="F74" s="6">
        <f t="shared" si="7"/>
        <v>4.0099004266249239E-2</v>
      </c>
      <c r="G74" s="5">
        <f t="shared" si="10"/>
        <v>4.7105834748712496</v>
      </c>
      <c r="H74" s="5">
        <f t="shared" si="11"/>
        <v>4.6674786457912578</v>
      </c>
      <c r="I74" s="5">
        <f t="shared" si="4"/>
        <v>4.637515098929863</v>
      </c>
      <c r="J74" s="5">
        <f t="shared" si="5"/>
        <v>4.619113882761213</v>
      </c>
    </row>
    <row r="75" spans="1:10" x14ac:dyDescent="0.2">
      <c r="A75" s="9">
        <v>44228</v>
      </c>
      <c r="B75" s="5">
        <f>LN(Endeks!B75)</f>
        <v>4.7528140279006532</v>
      </c>
      <c r="C75" s="5">
        <f t="shared" si="8"/>
        <v>1.6878772033009248E-2</v>
      </c>
      <c r="D75" s="6">
        <f t="shared" si="9"/>
        <v>3.5639786274732632E-3</v>
      </c>
      <c r="E75" s="5">
        <f t="shared" si="6"/>
        <v>0.19525969585422498</v>
      </c>
      <c r="F75" s="6">
        <f t="shared" si="7"/>
        <v>4.2843086802335506E-2</v>
      </c>
      <c r="G75" s="5">
        <f t="shared" si="10"/>
        <v>4.7328198830101043</v>
      </c>
      <c r="H75" s="5">
        <f t="shared" si="11"/>
        <v>4.6929548806188324</v>
      </c>
      <c r="I75" s="5">
        <f t="shared" ref="I75:I136" si="12">AVERAGE(B67:B75)</f>
        <v>4.6571898381080148</v>
      </c>
      <c r="J75" s="5">
        <f t="shared" si="5"/>
        <v>4.6353855240823982</v>
      </c>
    </row>
    <row r="76" spans="1:10" x14ac:dyDescent="0.2">
      <c r="A76" s="9">
        <v>44256</v>
      </c>
      <c r="B76" s="5">
        <f>LN(Endeks!B76)</f>
        <v>4.7675441049723499</v>
      </c>
      <c r="C76" s="5">
        <f t="shared" si="8"/>
        <v>1.4730077071696712E-2</v>
      </c>
      <c r="D76" s="6">
        <f t="shared" si="9"/>
        <v>3.0992327882441995E-3</v>
      </c>
      <c r="E76" s="5">
        <f t="shared" si="6"/>
        <v>0.20622131876453498</v>
      </c>
      <c r="F76" s="6">
        <f t="shared" si="7"/>
        <v>4.5210858435209111E-2</v>
      </c>
      <c r="G76" s="5">
        <f t="shared" si="10"/>
        <v>4.7520977962468818</v>
      </c>
      <c r="H76" s="5">
        <f t="shared" si="11"/>
        <v>4.7175193454815014</v>
      </c>
      <c r="I76" s="5">
        <f t="shared" si="12"/>
        <v>4.6786042868856992</v>
      </c>
      <c r="J76" s="5">
        <f t="shared" si="5"/>
        <v>4.652570633979443</v>
      </c>
    </row>
    <row r="77" spans="1:10" x14ac:dyDescent="0.2">
      <c r="A77" s="9">
        <v>44287</v>
      </c>
      <c r="B77" s="5">
        <f>LN(Endeks!B77)</f>
        <v>4.7896560656114229</v>
      </c>
      <c r="C77" s="5">
        <f t="shared" si="8"/>
        <v>2.2111960639072947E-2</v>
      </c>
      <c r="D77" s="6">
        <f t="shared" si="9"/>
        <v>4.6380191042199037E-3</v>
      </c>
      <c r="E77" s="5">
        <f t="shared" si="6"/>
        <v>0.21680248109987499</v>
      </c>
      <c r="F77" s="6">
        <f t="shared" si="7"/>
        <v>4.7410763780890486E-2</v>
      </c>
      <c r="G77" s="5">
        <f t="shared" si="10"/>
        <v>4.7700047328281423</v>
      </c>
      <c r="H77" s="5">
        <f t="shared" si="11"/>
        <v>4.7402941038496964</v>
      </c>
      <c r="I77" s="5">
        <f t="shared" si="12"/>
        <v>4.7016540081368863</v>
      </c>
      <c r="J77" s="5">
        <f t="shared" si="5"/>
        <v>4.6706375074044333</v>
      </c>
    </row>
    <row r="78" spans="1:10" x14ac:dyDescent="0.2">
      <c r="A78" s="9">
        <v>44317</v>
      </c>
      <c r="B78" s="5">
        <f>LN(Endeks!B78)</f>
        <v>4.817374117263916</v>
      </c>
      <c r="C78" s="5">
        <f t="shared" si="8"/>
        <v>2.7718051652493081E-2</v>
      </c>
      <c r="D78" s="6">
        <f t="shared" si="9"/>
        <v>5.7870651405436124E-3</v>
      </c>
      <c r="E78" s="5">
        <f t="shared" si="6"/>
        <v>0.24163274196663664</v>
      </c>
      <c r="F78" s="6">
        <f t="shared" si="7"/>
        <v>5.2807342493420117E-2</v>
      </c>
      <c r="G78" s="5">
        <f t="shared" si="10"/>
        <v>4.7915247626158965</v>
      </c>
      <c r="H78" s="5">
        <f t="shared" si="11"/>
        <v>4.7621723228130008</v>
      </c>
      <c r="I78" s="5">
        <f t="shared" si="12"/>
        <v>4.725811507951188</v>
      </c>
      <c r="J78" s="5">
        <f t="shared" ref="J78:J136" si="13">AVERAGE(B67:B78)</f>
        <v>4.6907735692349855</v>
      </c>
    </row>
    <row r="79" spans="1:10" x14ac:dyDescent="0.2">
      <c r="A79" s="9">
        <v>44348</v>
      </c>
      <c r="B79" s="5">
        <f>LN(Endeks!B79)</f>
        <v>4.857250987196899</v>
      </c>
      <c r="C79" s="5">
        <f t="shared" si="8"/>
        <v>3.9876869932983006E-2</v>
      </c>
      <c r="D79" s="6">
        <f t="shared" si="9"/>
        <v>8.277719139577977E-3</v>
      </c>
      <c r="E79" s="5">
        <f t="shared" ref="E79:E136" si="14">B79-B67</f>
        <v>0.28243692122370678</v>
      </c>
      <c r="F79" s="6">
        <f t="shared" ref="F79:F136" si="15">B79/B67-1</f>
        <v>6.1737355256562543E-2</v>
      </c>
      <c r="G79" s="5">
        <f t="shared" si="10"/>
        <v>4.8214270566907453</v>
      </c>
      <c r="H79" s="5">
        <f t="shared" si="11"/>
        <v>4.7867624264688144</v>
      </c>
      <c r="I79" s="5">
        <f t="shared" si="12"/>
        <v>4.7521552492179167</v>
      </c>
      <c r="J79" s="5">
        <f t="shared" si="13"/>
        <v>4.7143099793369609</v>
      </c>
    </row>
    <row r="80" spans="1:10" x14ac:dyDescent="0.2">
      <c r="A80" s="9">
        <v>44378</v>
      </c>
      <c r="B80" s="5">
        <f>LN(Endeks!B80)</f>
        <v>4.8871108078107586</v>
      </c>
      <c r="C80" s="5">
        <f t="shared" si="8"/>
        <v>2.9859820613859611E-2</v>
      </c>
      <c r="D80" s="6">
        <f t="shared" si="9"/>
        <v>6.1474732709028146E-3</v>
      </c>
      <c r="E80" s="5">
        <f t="shared" si="14"/>
        <v>0.30490223346001422</v>
      </c>
      <c r="F80" s="6">
        <f t="shared" si="15"/>
        <v>6.6540452821534091E-2</v>
      </c>
      <c r="G80" s="5">
        <f t="shared" si="10"/>
        <v>4.8539119707571912</v>
      </c>
      <c r="H80" s="5">
        <f t="shared" si="11"/>
        <v>4.8119583517926658</v>
      </c>
      <c r="I80" s="5">
        <f t="shared" si="12"/>
        <v>4.778166726152195</v>
      </c>
      <c r="J80" s="5">
        <f t="shared" si="13"/>
        <v>4.7397184987919623</v>
      </c>
    </row>
    <row r="81" spans="1:10" x14ac:dyDescent="0.2">
      <c r="A81" s="9">
        <v>44409</v>
      </c>
      <c r="B81" s="5">
        <f>LN(Endeks!B81)</f>
        <v>4.8991821821347417</v>
      </c>
      <c r="C81" s="5">
        <f t="shared" si="8"/>
        <v>1.2071374323983086E-2</v>
      </c>
      <c r="D81" s="6">
        <f t="shared" si="9"/>
        <v>2.4700430988162658E-3</v>
      </c>
      <c r="E81" s="5">
        <f t="shared" si="14"/>
        <v>0.29922556319953753</v>
      </c>
      <c r="F81" s="6">
        <f t="shared" si="15"/>
        <v>6.5049648939689897E-2</v>
      </c>
      <c r="G81" s="5">
        <f t="shared" si="10"/>
        <v>4.8811813257141337</v>
      </c>
      <c r="H81" s="5">
        <f t="shared" si="11"/>
        <v>4.8363530441650147</v>
      </c>
      <c r="I81" s="5">
        <f t="shared" si="12"/>
        <v>4.8018419904467118</v>
      </c>
      <c r="J81" s="5">
        <f t="shared" si="13"/>
        <v>4.7646539623919244</v>
      </c>
    </row>
    <row r="82" spans="1:10" x14ac:dyDescent="0.2">
      <c r="A82" s="9">
        <v>44440</v>
      </c>
      <c r="B82" s="5">
        <f>LN(Endeks!B82)</f>
        <v>4.9196158957090868</v>
      </c>
      <c r="C82" s="5">
        <f t="shared" si="8"/>
        <v>2.0433713574345092E-2</v>
      </c>
      <c r="D82" s="6">
        <f t="shared" si="9"/>
        <v>4.1708417475998516E-3</v>
      </c>
      <c r="E82" s="5">
        <f t="shared" si="14"/>
        <v>0.29945857991274671</v>
      </c>
      <c r="F82" s="6">
        <f t="shared" si="15"/>
        <v>6.4815667399223953E-2</v>
      </c>
      <c r="G82" s="5">
        <f t="shared" si="10"/>
        <v>4.9019696285515293</v>
      </c>
      <c r="H82" s="5">
        <f t="shared" si="11"/>
        <v>4.8616983426211373</v>
      </c>
      <c r="I82" s="5">
        <f t="shared" si="12"/>
        <v>4.8251648271630527</v>
      </c>
      <c r="J82" s="5">
        <f t="shared" si="13"/>
        <v>4.7896088440513198</v>
      </c>
    </row>
    <row r="83" spans="1:10" x14ac:dyDescent="0.2">
      <c r="A83" s="9">
        <v>44470</v>
      </c>
      <c r="B83" s="5">
        <f>LN(Endeks!B83)</f>
        <v>4.97576775876718</v>
      </c>
      <c r="C83" s="5">
        <f t="shared" si="8"/>
        <v>5.6151863058093276E-2</v>
      </c>
      <c r="D83" s="6">
        <f t="shared" si="9"/>
        <v>1.1413871377045748E-2</v>
      </c>
      <c r="E83" s="5">
        <f t="shared" si="14"/>
        <v>0.32276024336492881</v>
      </c>
      <c r="F83" s="6">
        <f t="shared" si="15"/>
        <v>6.9365940694601669E-2</v>
      </c>
      <c r="G83" s="5">
        <f t="shared" si="10"/>
        <v>4.9315219455370025</v>
      </c>
      <c r="H83" s="5">
        <f t="shared" si="11"/>
        <v>4.8927169581470968</v>
      </c>
      <c r="I83" s="5">
        <f t="shared" si="12"/>
        <v>4.851812883040779</v>
      </c>
      <c r="J83" s="5">
        <f t="shared" si="13"/>
        <v>4.8165055309983975</v>
      </c>
    </row>
    <row r="84" spans="1:10" x14ac:dyDescent="0.2">
      <c r="A84" s="9">
        <v>44501</v>
      </c>
      <c r="B84" s="5">
        <f>LN(Endeks!B84)</f>
        <v>5.0724200270372055</v>
      </c>
      <c r="C84" s="5">
        <f t="shared" si="8"/>
        <v>9.6652268270025488E-2</v>
      </c>
      <c r="D84" s="6">
        <f t="shared" si="9"/>
        <v>1.942459394326157E-2</v>
      </c>
      <c r="E84" s="5">
        <f t="shared" si="14"/>
        <v>0.38631522355311532</v>
      </c>
      <c r="F84" s="6">
        <f t="shared" si="15"/>
        <v>8.2438451497263143E-2</v>
      </c>
      <c r="G84" s="5">
        <f t="shared" si="10"/>
        <v>4.9892678938378241</v>
      </c>
      <c r="H84" s="5">
        <f t="shared" si="11"/>
        <v>4.9352246097759789</v>
      </c>
      <c r="I84" s="5">
        <f t="shared" si="12"/>
        <v>4.8873246607226175</v>
      </c>
      <c r="J84" s="5">
        <f t="shared" si="13"/>
        <v>4.848698466294489</v>
      </c>
    </row>
    <row r="85" spans="1:10" x14ac:dyDescent="0.2">
      <c r="A85" s="9">
        <v>44531</v>
      </c>
      <c r="B85" s="5">
        <f>LN(Endeks!B85)</f>
        <v>5.2068049660419291</v>
      </c>
      <c r="C85" s="5">
        <f t="shared" si="8"/>
        <v>0.13438493900472359</v>
      </c>
      <c r="D85" s="6">
        <f t="shared" si="9"/>
        <v>2.6493259290125692E-2</v>
      </c>
      <c r="E85" s="5">
        <f t="shared" si="14"/>
        <v>0.49709460077991352</v>
      </c>
      <c r="F85" s="6">
        <f t="shared" si="15"/>
        <v>0.10554674538935438</v>
      </c>
      <c r="G85" s="5">
        <f t="shared" si="10"/>
        <v>5.0849975839487715</v>
      </c>
      <c r="H85" s="5">
        <f t="shared" si="11"/>
        <v>4.9934836062501509</v>
      </c>
      <c r="I85" s="5">
        <f t="shared" si="12"/>
        <v>4.9361314230636815</v>
      </c>
      <c r="J85" s="5">
        <f t="shared" si="13"/>
        <v>4.8901230163594827</v>
      </c>
    </row>
    <row r="86" spans="1:10" x14ac:dyDescent="0.2">
      <c r="A86" s="9">
        <v>44562</v>
      </c>
      <c r="B86" s="5">
        <f>LN(Endeks!B86)</f>
        <v>5.3312200862237447</v>
      </c>
      <c r="C86" s="5">
        <f t="shared" si="8"/>
        <v>0.12441512018181555</v>
      </c>
      <c r="D86" s="6">
        <f t="shared" si="9"/>
        <v>2.3894714895839941E-2</v>
      </c>
      <c r="E86" s="5">
        <f t="shared" si="14"/>
        <v>0.59528483035610069</v>
      </c>
      <c r="F86" s="6">
        <f t="shared" si="15"/>
        <v>0.12569530582551036</v>
      </c>
      <c r="G86" s="5">
        <f t="shared" si="10"/>
        <v>5.2034816931009598</v>
      </c>
      <c r="H86" s="5">
        <f t="shared" si="11"/>
        <v>5.0675018193189816</v>
      </c>
      <c r="I86" s="5">
        <f t="shared" si="12"/>
        <v>4.9963052031317181</v>
      </c>
      <c r="J86" s="5">
        <f t="shared" si="13"/>
        <v>4.9397300855558237</v>
      </c>
    </row>
    <row r="87" spans="1:10" x14ac:dyDescent="0.2">
      <c r="A87" s="9">
        <v>44593</v>
      </c>
      <c r="B87" s="5">
        <f>LN(Endeks!B87)</f>
        <v>5.4179209661938685</v>
      </c>
      <c r="C87" s="5">
        <f t="shared" si="8"/>
        <v>8.6700879970123879E-2</v>
      </c>
      <c r="D87" s="6">
        <f t="shared" si="9"/>
        <v>1.6262858889312337E-2</v>
      </c>
      <c r="E87" s="5">
        <f t="shared" si="14"/>
        <v>0.66510693829321532</v>
      </c>
      <c r="F87" s="6">
        <f t="shared" si="15"/>
        <v>0.13993960933224159</v>
      </c>
      <c r="G87" s="5">
        <f t="shared" si="10"/>
        <v>5.3186486728198474</v>
      </c>
      <c r="H87" s="5">
        <f t="shared" si="11"/>
        <v>5.1539582833288362</v>
      </c>
      <c r="I87" s="5">
        <f t="shared" si="12"/>
        <v>5.0630326307906017</v>
      </c>
      <c r="J87" s="5">
        <f t="shared" si="13"/>
        <v>4.9951556637469254</v>
      </c>
    </row>
    <row r="88" spans="1:10" x14ac:dyDescent="0.2">
      <c r="A88" s="9">
        <v>44621</v>
      </c>
      <c r="B88" s="5">
        <f>LN(Endeks!B88)</f>
        <v>5.5378065963983323</v>
      </c>
      <c r="C88" s="5">
        <f t="shared" si="8"/>
        <v>0.11988563020446374</v>
      </c>
      <c r="D88" s="6">
        <f t="shared" si="9"/>
        <v>2.2127607795040305E-2</v>
      </c>
      <c r="E88" s="5">
        <f t="shared" si="14"/>
        <v>0.77026249142598235</v>
      </c>
      <c r="F88" s="6">
        <f t="shared" si="15"/>
        <v>0.16156378933602955</v>
      </c>
      <c r="G88" s="5">
        <f t="shared" si="10"/>
        <v>5.4289825496053155</v>
      </c>
      <c r="H88" s="5">
        <f t="shared" si="11"/>
        <v>5.2569900667770435</v>
      </c>
      <c r="I88" s="5">
        <f t="shared" si="12"/>
        <v>5.1386499207018721</v>
      </c>
      <c r="J88" s="5">
        <f t="shared" si="13"/>
        <v>5.05934420469909</v>
      </c>
    </row>
    <row r="89" spans="1:10" x14ac:dyDescent="0.2">
      <c r="A89" s="9">
        <v>44652</v>
      </c>
      <c r="B89" s="5">
        <f>LN(Endeks!B89)</f>
        <v>5.6087022684059313</v>
      </c>
      <c r="C89" s="5">
        <f t="shared" si="8"/>
        <v>7.0895672007599053E-2</v>
      </c>
      <c r="D89" s="6">
        <f t="shared" si="9"/>
        <v>1.2802121340551809E-2</v>
      </c>
      <c r="E89" s="5">
        <f t="shared" si="14"/>
        <v>0.81904620279450846</v>
      </c>
      <c r="F89" s="6">
        <f t="shared" si="15"/>
        <v>0.171003135000666</v>
      </c>
      <c r="G89" s="5">
        <f t="shared" si="10"/>
        <v>5.5214766103327113</v>
      </c>
      <c r="H89" s="5">
        <f t="shared" si="11"/>
        <v>5.362479151716836</v>
      </c>
      <c r="I89" s="5">
        <f t="shared" si="12"/>
        <v>5.2188267496568903</v>
      </c>
      <c r="J89" s="5">
        <f t="shared" si="13"/>
        <v>5.1275980549319664</v>
      </c>
    </row>
    <row r="90" spans="1:10" x14ac:dyDescent="0.2">
      <c r="A90" s="9">
        <v>44682</v>
      </c>
      <c r="B90" s="5">
        <f>LN(Endeks!B90)</f>
        <v>5.6590291514690199</v>
      </c>
      <c r="C90" s="5">
        <f t="shared" si="8"/>
        <v>5.0326883063088523E-2</v>
      </c>
      <c r="D90" s="6">
        <f t="shared" si="9"/>
        <v>8.9729995736413937E-3</v>
      </c>
      <c r="E90" s="5">
        <f t="shared" si="14"/>
        <v>0.8416550342051039</v>
      </c>
      <c r="F90" s="6">
        <f t="shared" si="15"/>
        <v>0.17471240840292723</v>
      </c>
      <c r="G90" s="5">
        <f t="shared" si="10"/>
        <v>5.6018460054244281</v>
      </c>
      <c r="H90" s="5">
        <f t="shared" si="11"/>
        <v>5.4602473391221373</v>
      </c>
      <c r="I90" s="5">
        <f t="shared" si="12"/>
        <v>5.3032541906940329</v>
      </c>
      <c r="J90" s="5">
        <f t="shared" si="13"/>
        <v>5.1977359744490581</v>
      </c>
    </row>
    <row r="91" spans="1:10" x14ac:dyDescent="0.2">
      <c r="A91" s="9">
        <v>44713</v>
      </c>
      <c r="B91" s="5">
        <f>LN(Endeks!B91)</f>
        <v>5.735862368119613</v>
      </c>
      <c r="C91" s="5">
        <f t="shared" si="8"/>
        <v>7.6833216650593172E-2</v>
      </c>
      <c r="D91" s="6">
        <f t="shared" si="9"/>
        <v>1.3577102113115691E-2</v>
      </c>
      <c r="E91" s="5">
        <f t="shared" si="14"/>
        <v>0.87861138092271407</v>
      </c>
      <c r="F91" s="6">
        <f t="shared" si="15"/>
        <v>0.18088655151620192</v>
      </c>
      <c r="G91" s="5">
        <f t="shared" si="10"/>
        <v>5.6678645959981884</v>
      </c>
      <c r="H91" s="5">
        <f t="shared" si="11"/>
        <v>5.5484235728017524</v>
      </c>
      <c r="I91" s="5">
        <f t="shared" si="12"/>
        <v>5.3939482431840915</v>
      </c>
      <c r="J91" s="5">
        <f t="shared" si="13"/>
        <v>5.2709535895259512</v>
      </c>
    </row>
    <row r="92" spans="1:10" x14ac:dyDescent="0.2">
      <c r="A92" s="9">
        <v>44743</v>
      </c>
      <c r="B92" s="5">
        <f>LN(Endeks!B92)</f>
        <v>5.7548874179734693</v>
      </c>
      <c r="C92" s="5">
        <f t="shared" si="8"/>
        <v>1.9025049853856224E-2</v>
      </c>
      <c r="D92" s="6">
        <f t="shared" si="9"/>
        <v>3.3168595466304129E-3</v>
      </c>
      <c r="E92" s="5">
        <f t="shared" si="14"/>
        <v>0.86777661016271068</v>
      </c>
      <c r="F92" s="6">
        <f t="shared" si="15"/>
        <v>0.17756434103679397</v>
      </c>
      <c r="G92" s="5">
        <f t="shared" si="10"/>
        <v>5.716592979187368</v>
      </c>
      <c r="H92" s="5">
        <f t="shared" si="11"/>
        <v>5.6190347947600392</v>
      </c>
      <c r="I92" s="5">
        <f t="shared" si="12"/>
        <v>5.4805170942070127</v>
      </c>
      <c r="J92" s="5">
        <f t="shared" si="13"/>
        <v>5.3432683070395095</v>
      </c>
    </row>
    <row r="93" spans="1:10" x14ac:dyDescent="0.2">
      <c r="A93" s="9">
        <v>44774</v>
      </c>
      <c r="B93" s="5">
        <f>LN(Endeks!B93)</f>
        <v>5.7777142408103668</v>
      </c>
      <c r="C93" s="5">
        <f t="shared" si="8"/>
        <v>2.282682283689752E-2</v>
      </c>
      <c r="D93" s="6">
        <f t="shared" si="9"/>
        <v>3.9665107549464729E-3</v>
      </c>
      <c r="E93" s="5">
        <f t="shared" si="14"/>
        <v>0.87853205867562512</v>
      </c>
      <c r="F93" s="6">
        <f t="shared" si="15"/>
        <v>0.17932218603326544</v>
      </c>
      <c r="G93" s="5">
        <f t="shared" si="10"/>
        <v>5.7561546756344839</v>
      </c>
      <c r="H93" s="5">
        <f t="shared" si="11"/>
        <v>5.6790003405294556</v>
      </c>
      <c r="I93" s="5">
        <f t="shared" si="12"/>
        <v>5.5588831179595859</v>
      </c>
      <c r="J93" s="5">
        <f t="shared" si="13"/>
        <v>5.4164793119291454</v>
      </c>
    </row>
    <row r="94" spans="1:10" x14ac:dyDescent="0.2">
      <c r="A94" s="9">
        <v>44805</v>
      </c>
      <c r="B94" s="5">
        <f>LN(Endeks!B94)</f>
        <v>5.8150256534721825</v>
      </c>
      <c r="C94" s="5">
        <f t="shared" si="8"/>
        <v>3.7311412661815702E-2</v>
      </c>
      <c r="D94" s="6">
        <f t="shared" si="9"/>
        <v>6.4578155143550919E-3</v>
      </c>
      <c r="E94" s="5">
        <f t="shared" si="14"/>
        <v>0.89540975776309573</v>
      </c>
      <c r="F94" s="6">
        <f t="shared" si="15"/>
        <v>0.18200806256929059</v>
      </c>
      <c r="G94" s="5">
        <f t="shared" si="10"/>
        <v>5.7825424374186731</v>
      </c>
      <c r="H94" s="5">
        <f t="shared" si="11"/>
        <v>5.7252035167084303</v>
      </c>
      <c r="I94" s="5">
        <f t="shared" si="12"/>
        <v>5.6264631943407259</v>
      </c>
      <c r="J94" s="5">
        <f t="shared" si="13"/>
        <v>5.4910967917427369</v>
      </c>
    </row>
    <row r="95" spans="1:10" x14ac:dyDescent="0.2">
      <c r="A95" s="9">
        <v>44835</v>
      </c>
      <c r="B95" s="5">
        <f>LN(Endeks!B95)</f>
        <v>5.842268240745855</v>
      </c>
      <c r="C95" s="5">
        <f t="shared" si="8"/>
        <v>2.7242587273672569E-2</v>
      </c>
      <c r="D95" s="6">
        <f t="shared" si="9"/>
        <v>4.6848610646121891E-3</v>
      </c>
      <c r="E95" s="5">
        <f t="shared" si="14"/>
        <v>0.86650048197867502</v>
      </c>
      <c r="F95" s="6">
        <f t="shared" si="15"/>
        <v>0.17414407665066811</v>
      </c>
      <c r="G95" s="5">
        <f t="shared" si="10"/>
        <v>5.8116693783428017</v>
      </c>
      <c r="H95" s="5">
        <f t="shared" si="11"/>
        <v>5.7641311787650844</v>
      </c>
      <c r="I95" s="5">
        <f t="shared" si="12"/>
        <v>5.6832463226209597</v>
      </c>
      <c r="J95" s="5">
        <f t="shared" si="13"/>
        <v>5.5633051652409611</v>
      </c>
    </row>
    <row r="96" spans="1:10" x14ac:dyDescent="0.2">
      <c r="A96" s="9">
        <v>44866</v>
      </c>
      <c r="B96" s="5">
        <f>LN(Endeks!B96)</f>
        <v>5.8567610392532812</v>
      </c>
      <c r="C96" s="5">
        <f t="shared" si="8"/>
        <v>1.449279850742613E-2</v>
      </c>
      <c r="D96" s="6">
        <f t="shared" si="9"/>
        <v>2.4806800903711679E-3</v>
      </c>
      <c r="E96" s="5">
        <f t="shared" si="14"/>
        <v>0.78434101221607566</v>
      </c>
      <c r="F96" s="6">
        <f t="shared" si="15"/>
        <v>0.15462856152198579</v>
      </c>
      <c r="G96" s="5">
        <f t="shared" si="10"/>
        <v>5.8380183111571062</v>
      </c>
      <c r="H96" s="5">
        <f t="shared" si="11"/>
        <v>5.7970864933957955</v>
      </c>
      <c r="I96" s="5">
        <f t="shared" si="12"/>
        <v>5.7320063307386722</v>
      </c>
      <c r="J96" s="5">
        <f t="shared" si="13"/>
        <v>5.6286669162589655</v>
      </c>
    </row>
    <row r="97" spans="1:10" x14ac:dyDescent="0.2">
      <c r="A97" s="9">
        <v>44896</v>
      </c>
      <c r="B97" s="5">
        <f>LN(Endeks!B97)</f>
        <v>5.8545846975105595</v>
      </c>
      <c r="C97" s="5">
        <f t="shared" si="8"/>
        <v>-2.1763417427216325E-3</v>
      </c>
      <c r="D97" s="6">
        <f t="shared" si="9"/>
        <v>-3.7159476511594569E-4</v>
      </c>
      <c r="E97" s="5">
        <f t="shared" si="14"/>
        <v>0.64777973146863044</v>
      </c>
      <c r="F97" s="6">
        <f t="shared" si="15"/>
        <v>0.12441021618696335</v>
      </c>
      <c r="G97" s="5">
        <f t="shared" si="10"/>
        <v>5.8512046591698983</v>
      </c>
      <c r="H97" s="5">
        <f t="shared" si="11"/>
        <v>5.8168735482942857</v>
      </c>
      <c r="I97" s="5">
        <f t="shared" si="12"/>
        <v>5.767203897528919</v>
      </c>
      <c r="J97" s="5">
        <f t="shared" si="13"/>
        <v>5.6826485605480181</v>
      </c>
    </row>
    <row r="98" spans="1:10" x14ac:dyDescent="0.2">
      <c r="A98" s="9">
        <v>44927</v>
      </c>
      <c r="B98" s="5">
        <f>LN(Endeks!B98)</f>
        <v>5.8827372591162019</v>
      </c>
      <c r="C98" s="5">
        <f t="shared" si="8"/>
        <v>2.815256160564239E-2</v>
      </c>
      <c r="D98" s="6">
        <f t="shared" si="9"/>
        <v>4.8086351227634161E-3</v>
      </c>
      <c r="E98" s="5">
        <f t="shared" si="14"/>
        <v>0.55151717289245727</v>
      </c>
      <c r="F98" s="6">
        <f t="shared" si="15"/>
        <v>0.10345046048982609</v>
      </c>
      <c r="G98" s="5">
        <f t="shared" si="10"/>
        <v>5.8646943319600142</v>
      </c>
      <c r="H98" s="5">
        <f t="shared" si="11"/>
        <v>5.838181855151408</v>
      </c>
      <c r="I98" s="5">
        <f t="shared" si="12"/>
        <v>5.797652229830061</v>
      </c>
      <c r="J98" s="5">
        <f t="shared" si="13"/>
        <v>5.7286083249557231</v>
      </c>
    </row>
    <row r="99" spans="1:10" x14ac:dyDescent="0.2">
      <c r="A99" s="9">
        <v>44958</v>
      </c>
      <c r="B99" s="5">
        <f>LN(Endeks!B99)</f>
        <v>5.8853815482998248</v>
      </c>
      <c r="C99" s="5">
        <f t="shared" si="8"/>
        <v>2.6442891836229165E-3</v>
      </c>
      <c r="D99" s="6">
        <f t="shared" si="9"/>
        <v>4.4949979357400416E-4</v>
      </c>
      <c r="E99" s="5">
        <f t="shared" si="14"/>
        <v>0.46746058210595631</v>
      </c>
      <c r="F99" s="6">
        <f t="shared" si="15"/>
        <v>8.6280435802361E-2</v>
      </c>
      <c r="G99" s="5">
        <f t="shared" si="10"/>
        <v>5.8742345016421957</v>
      </c>
      <c r="H99" s="5">
        <f t="shared" si="11"/>
        <v>5.8561264063996505</v>
      </c>
      <c r="I99" s="5">
        <f t="shared" si="12"/>
        <v>5.8228024961445959</v>
      </c>
      <c r="J99" s="5">
        <f t="shared" si="13"/>
        <v>5.7675633734645535</v>
      </c>
    </row>
    <row r="100" spans="1:10" x14ac:dyDescent="0.2">
      <c r="A100" s="9">
        <v>44986</v>
      </c>
      <c r="B100" s="5">
        <f>LN(Endeks!B100)</f>
        <v>5.8969340632617486</v>
      </c>
      <c r="C100" s="5">
        <f t="shared" si="8"/>
        <v>1.1552514961923777E-2</v>
      </c>
      <c r="D100" s="6">
        <f t="shared" si="9"/>
        <v>1.9629169098240862E-3</v>
      </c>
      <c r="E100" s="5">
        <f t="shared" si="14"/>
        <v>0.35912746686341634</v>
      </c>
      <c r="F100" s="6">
        <f t="shared" si="15"/>
        <v>6.4850128044736222E-2</v>
      </c>
      <c r="G100" s="5">
        <f t="shared" si="10"/>
        <v>5.8883509568925918</v>
      </c>
      <c r="H100" s="5">
        <f t="shared" si="11"/>
        <v>5.8697778080312446</v>
      </c>
      <c r="I100" s="5">
        <f t="shared" si="12"/>
        <v>5.8406993511603877</v>
      </c>
      <c r="J100" s="5">
        <f t="shared" si="13"/>
        <v>5.7974906623698379</v>
      </c>
    </row>
    <row r="101" spans="1:10" x14ac:dyDescent="0.2">
      <c r="A101" s="9">
        <v>45017</v>
      </c>
      <c r="B101" s="5">
        <f>LN(Endeks!B101)</f>
        <v>5.8989928350398646</v>
      </c>
      <c r="C101" s="5">
        <f t="shared" si="8"/>
        <v>2.0587717781159753E-3</v>
      </c>
      <c r="D101" s="6">
        <f t="shared" si="9"/>
        <v>3.4912579249302134E-4</v>
      </c>
      <c r="E101" s="5">
        <f t="shared" si="14"/>
        <v>0.29029056663393327</v>
      </c>
      <c r="F101" s="6">
        <f t="shared" si="15"/>
        <v>5.175717175596084E-2</v>
      </c>
      <c r="G101" s="5">
        <f t="shared" si="10"/>
        <v>5.8937694822004794</v>
      </c>
      <c r="H101" s="5">
        <f t="shared" si="11"/>
        <v>5.8792319070802472</v>
      </c>
      <c r="I101" s="5">
        <f t="shared" si="12"/>
        <v>5.8567110641677651</v>
      </c>
      <c r="J101" s="5">
        <f t="shared" si="13"/>
        <v>5.8216815429226658</v>
      </c>
    </row>
    <row r="102" spans="1:10" x14ac:dyDescent="0.2">
      <c r="A102" s="9">
        <v>45047</v>
      </c>
      <c r="B102" s="5">
        <f>LN(Endeks!B102)</f>
        <v>5.9016492427856182</v>
      </c>
      <c r="C102" s="5">
        <f t="shared" si="8"/>
        <v>2.6564077457535973E-3</v>
      </c>
      <c r="D102" s="6">
        <f t="shared" si="9"/>
        <v>4.5031547249463344E-4</v>
      </c>
      <c r="E102" s="5">
        <f t="shared" si="14"/>
        <v>0.24262009131659834</v>
      </c>
      <c r="F102" s="6">
        <f t="shared" si="15"/>
        <v>4.2873094451831406E-2</v>
      </c>
      <c r="G102" s="5">
        <f t="shared" si="10"/>
        <v>5.8991920470290777</v>
      </c>
      <c r="H102" s="5">
        <f t="shared" si="11"/>
        <v>5.8867132743356363</v>
      </c>
      <c r="I102" s="5">
        <f t="shared" si="12"/>
        <v>5.8704816199427921</v>
      </c>
      <c r="J102" s="5">
        <f t="shared" si="13"/>
        <v>5.8418998838657172</v>
      </c>
    </row>
    <row r="103" spans="1:10" x14ac:dyDescent="0.2">
      <c r="A103" s="9">
        <v>45078</v>
      </c>
      <c r="B103" s="5">
        <f>LN(Endeks!B103)</f>
        <v>5.9476432675591324</v>
      </c>
      <c r="C103" s="5">
        <f t="shared" si="8"/>
        <v>4.5994024773514219E-2</v>
      </c>
      <c r="D103" s="6">
        <f t="shared" si="9"/>
        <v>7.7934189040018698E-3</v>
      </c>
      <c r="E103" s="5">
        <f t="shared" si="14"/>
        <v>0.21178089943951939</v>
      </c>
      <c r="F103" s="6">
        <f t="shared" si="15"/>
        <v>3.6922242175233322E-2</v>
      </c>
      <c r="G103" s="5">
        <f t="shared" si="10"/>
        <v>5.9160951151282051</v>
      </c>
      <c r="H103" s="5">
        <f t="shared" si="11"/>
        <v>5.9022230360103975</v>
      </c>
      <c r="I103" s="5">
        <f t="shared" si="12"/>
        <v>5.8852169103968972</v>
      </c>
      <c r="J103" s="5">
        <f t="shared" si="13"/>
        <v>5.8595482921523425</v>
      </c>
    </row>
    <row r="104" spans="1:10" x14ac:dyDescent="0.2">
      <c r="A104" s="9">
        <v>45108</v>
      </c>
      <c r="B104" s="5">
        <f>LN(Endeks!B104)</f>
        <v>6.0225270725598001</v>
      </c>
      <c r="C104" s="5">
        <f t="shared" si="8"/>
        <v>7.4883805000667714E-2</v>
      </c>
      <c r="D104" s="6">
        <f t="shared" si="9"/>
        <v>1.2590500410324612E-2</v>
      </c>
      <c r="E104" s="5">
        <f t="shared" si="14"/>
        <v>0.26763965458633088</v>
      </c>
      <c r="F104" s="6">
        <f t="shared" si="15"/>
        <v>4.6506497025545324E-2</v>
      </c>
      <c r="G104" s="5">
        <f t="shared" si="10"/>
        <v>5.9572731943015169</v>
      </c>
      <c r="H104" s="5">
        <f t="shared" si="11"/>
        <v>5.9255213382509986</v>
      </c>
      <c r="I104" s="5">
        <f t="shared" si="12"/>
        <v>5.9052456694873365</v>
      </c>
      <c r="J104" s="5">
        <f t="shared" si="13"/>
        <v>5.8818515967012024</v>
      </c>
    </row>
    <row r="105" spans="1:10" x14ac:dyDescent="0.2">
      <c r="A105" s="9">
        <v>45139</v>
      </c>
      <c r="B105" s="5">
        <f>LN(Endeks!B105)</f>
        <v>6.0971075228701972</v>
      </c>
      <c r="C105" s="5">
        <f t="shared" si="8"/>
        <v>7.4580450310397062E-2</v>
      </c>
      <c r="D105" s="6">
        <f t="shared" si="9"/>
        <v>1.23835807480559E-2</v>
      </c>
      <c r="E105" s="5">
        <f t="shared" si="14"/>
        <v>0.31939328205983042</v>
      </c>
      <c r="F105" s="6">
        <f t="shared" si="15"/>
        <v>5.5280214414867412E-2</v>
      </c>
      <c r="G105" s="5">
        <f t="shared" si="10"/>
        <v>6.0224259543297096</v>
      </c>
      <c r="H105" s="5">
        <f t="shared" si="11"/>
        <v>5.9608090006793937</v>
      </c>
      <c r="I105" s="5">
        <f t="shared" si="12"/>
        <v>5.9319508343336596</v>
      </c>
      <c r="J105" s="5">
        <f t="shared" si="13"/>
        <v>5.9084677035395217</v>
      </c>
    </row>
    <row r="106" spans="1:10" x14ac:dyDescent="0.2">
      <c r="A106" s="9">
        <v>45170</v>
      </c>
      <c r="B106" s="5">
        <f>LN(Endeks!B106)</f>
        <v>6.1253396306640093</v>
      </c>
      <c r="C106" s="5">
        <f t="shared" si="8"/>
        <v>2.8232107793812133E-2</v>
      </c>
      <c r="D106" s="6">
        <f t="shared" si="9"/>
        <v>4.6304100244114466E-3</v>
      </c>
      <c r="E106" s="5">
        <f t="shared" si="14"/>
        <v>0.31031397719182685</v>
      </c>
      <c r="F106" s="6">
        <f t="shared" si="15"/>
        <v>5.3364163063758241E-2</v>
      </c>
      <c r="G106" s="5">
        <f t="shared" si="10"/>
        <v>6.0816580753646683</v>
      </c>
      <c r="H106" s="5">
        <f t="shared" si="11"/>
        <v>5.9988765952464371</v>
      </c>
      <c r="I106" s="5">
        <f t="shared" si="12"/>
        <v>5.9620347157951539</v>
      </c>
      <c r="J106" s="5">
        <f t="shared" si="13"/>
        <v>5.9343272016388413</v>
      </c>
    </row>
    <row r="107" spans="1:10" x14ac:dyDescent="0.2">
      <c r="A107" s="9">
        <v>45200</v>
      </c>
      <c r="B107" s="5">
        <f>LN(Endeks!B107)</f>
        <v>6.1467574315140174</v>
      </c>
      <c r="C107" s="5">
        <f t="shared" si="8"/>
        <v>2.1417800850008106E-2</v>
      </c>
      <c r="D107" s="6">
        <f t="shared" si="9"/>
        <v>3.4965899266692357E-3</v>
      </c>
      <c r="E107" s="5">
        <f t="shared" si="14"/>
        <v>0.30448919076816239</v>
      </c>
      <c r="F107" s="6">
        <f t="shared" si="15"/>
        <v>5.2118317444679541E-2</v>
      </c>
      <c r="G107" s="5">
        <f t="shared" si="10"/>
        <v>6.1230681950160744</v>
      </c>
      <c r="H107" s="5">
        <f t="shared" si="11"/>
        <v>6.0401706946587952</v>
      </c>
      <c r="I107" s="5">
        <f t="shared" si="12"/>
        <v>5.9913702905060235</v>
      </c>
      <c r="J107" s="5">
        <f t="shared" si="13"/>
        <v>5.9597013008695212</v>
      </c>
    </row>
    <row r="108" spans="1:10" x14ac:dyDescent="0.2">
      <c r="A108" s="9">
        <v>45231</v>
      </c>
      <c r="B108" s="5">
        <f>LN(Endeks!B108)</f>
        <v>6.1582493647528072</v>
      </c>
      <c r="C108" s="5">
        <f t="shared" si="8"/>
        <v>1.149193323878972E-2</v>
      </c>
      <c r="D108" s="6">
        <f t="shared" si="9"/>
        <v>1.8695927677041535E-3</v>
      </c>
      <c r="E108" s="5">
        <f t="shared" si="14"/>
        <v>0.30148832549952598</v>
      </c>
      <c r="F108" s="6">
        <f t="shared" si="15"/>
        <v>5.1476972251195852E-2</v>
      </c>
      <c r="G108" s="5">
        <f t="shared" si="10"/>
        <v>6.1434488089769443</v>
      </c>
      <c r="H108" s="5">
        <f t="shared" si="11"/>
        <v>6.082937381653327</v>
      </c>
      <c r="I108" s="5">
        <f t="shared" si="12"/>
        <v>6.0216889367785775</v>
      </c>
      <c r="J108" s="5">
        <f t="shared" si="13"/>
        <v>5.9848253279944812</v>
      </c>
    </row>
    <row r="109" spans="1:10" x14ac:dyDescent="0.2">
      <c r="A109" s="9">
        <v>45261</v>
      </c>
      <c r="B109" s="5">
        <f>LN(Endeks!B109)</f>
        <v>6.182621952564336</v>
      </c>
      <c r="C109" s="5">
        <f t="shared" si="8"/>
        <v>2.4372587811528845E-2</v>
      </c>
      <c r="D109" s="6">
        <f t="shared" si="9"/>
        <v>3.9577136890602826E-3</v>
      </c>
      <c r="E109" s="5">
        <f t="shared" si="14"/>
        <v>0.32803725505377646</v>
      </c>
      <c r="F109" s="6">
        <f t="shared" si="15"/>
        <v>5.6030832587196544E-2</v>
      </c>
      <c r="G109" s="5">
        <f t="shared" si="10"/>
        <v>6.1625429162770535</v>
      </c>
      <c r="H109" s="5">
        <f t="shared" si="11"/>
        <v>6.1221004958208622</v>
      </c>
      <c r="I109" s="5">
        <f t="shared" si="12"/>
        <v>6.0534320355899762</v>
      </c>
      <c r="J109" s="5">
        <f t="shared" si="13"/>
        <v>6.0121617659156286</v>
      </c>
    </row>
    <row r="110" spans="1:10" x14ac:dyDescent="0.2">
      <c r="A110" s="9">
        <v>45292</v>
      </c>
      <c r="B110" s="5">
        <f>LN(Endeks!B110)</f>
        <v>6.2550780309759046</v>
      </c>
      <c r="C110" s="5">
        <f t="shared" si="8"/>
        <v>7.2456078411568647E-2</v>
      </c>
      <c r="D110" s="6">
        <f t="shared" si="9"/>
        <v>1.17193124482593E-2</v>
      </c>
      <c r="E110" s="5">
        <f t="shared" si="14"/>
        <v>0.37234077185970271</v>
      </c>
      <c r="F110" s="6">
        <f t="shared" si="15"/>
        <v>6.3293795976133937E-2</v>
      </c>
      <c r="G110" s="5">
        <f t="shared" si="10"/>
        <v>6.198649782764349</v>
      </c>
      <c r="H110" s="5">
        <f t="shared" si="11"/>
        <v>6.1608589888902117</v>
      </c>
      <c r="I110" s="5">
        <f t="shared" si="12"/>
        <v>6.0929970573606456</v>
      </c>
      <c r="J110" s="5">
        <f t="shared" si="13"/>
        <v>6.043190163570606</v>
      </c>
    </row>
    <row r="111" spans="1:10" x14ac:dyDescent="0.2">
      <c r="A111" s="9">
        <v>45323</v>
      </c>
      <c r="B111" s="5">
        <f>LN(Endeks!B111)</f>
        <v>6.2903461698133629</v>
      </c>
      <c r="C111" s="5">
        <f t="shared" si="8"/>
        <v>3.5268138837458274E-2</v>
      </c>
      <c r="D111" s="6">
        <f t="shared" si="9"/>
        <v>5.6383211628705521E-3</v>
      </c>
      <c r="E111" s="5">
        <f t="shared" si="14"/>
        <v>0.40496462151353807</v>
      </c>
      <c r="F111" s="6">
        <f t="shared" si="15"/>
        <v>6.8808558661846542E-2</v>
      </c>
      <c r="G111" s="5">
        <f t="shared" si="10"/>
        <v>6.2426820511178676</v>
      </c>
      <c r="H111" s="5">
        <f t="shared" si="11"/>
        <v>6.1930654300474055</v>
      </c>
      <c r="I111" s="5">
        <f t="shared" si="12"/>
        <v>6.1361856048081735</v>
      </c>
      <c r="J111" s="5">
        <f t="shared" si="13"/>
        <v>6.0769372153634</v>
      </c>
    </row>
    <row r="112" spans="1:10" x14ac:dyDescent="0.2">
      <c r="A112" s="9">
        <v>45352</v>
      </c>
      <c r="B112" s="5">
        <f>LN(Endeks!B112)</f>
        <v>6.3019227627489007</v>
      </c>
      <c r="C112" s="5">
        <f t="shared" si="8"/>
        <v>1.1576592935537811E-2</v>
      </c>
      <c r="D112" s="6">
        <f t="shared" si="9"/>
        <v>1.8403745394954818E-3</v>
      </c>
      <c r="E112" s="5">
        <f t="shared" si="14"/>
        <v>0.4049886994871521</v>
      </c>
      <c r="F112" s="6">
        <f t="shared" si="15"/>
        <v>6.867784091571516E-2</v>
      </c>
      <c r="G112" s="5">
        <f t="shared" si="10"/>
        <v>6.2824489878460561</v>
      </c>
      <c r="H112" s="5">
        <f t="shared" si="11"/>
        <v>6.2224959520615544</v>
      </c>
      <c r="I112" s="5">
        <f t="shared" si="12"/>
        <v>6.1755499931625932</v>
      </c>
      <c r="J112" s="5">
        <f t="shared" si="13"/>
        <v>6.1106862736539966</v>
      </c>
    </row>
    <row r="113" spans="1:10" x14ac:dyDescent="0.2">
      <c r="A113" s="9">
        <v>45383</v>
      </c>
      <c r="B113" s="5">
        <f>LN(Endeks!B113)</f>
        <v>6.3189861316021299</v>
      </c>
      <c r="C113" s="5">
        <f t="shared" si="8"/>
        <v>1.7063368853229122E-2</v>
      </c>
      <c r="D113" s="6">
        <f t="shared" si="9"/>
        <v>2.7076448721479185E-3</v>
      </c>
      <c r="E113" s="5">
        <f t="shared" si="14"/>
        <v>0.41999329656226525</v>
      </c>
      <c r="F113" s="6">
        <f t="shared" si="15"/>
        <v>7.11974583300925E-2</v>
      </c>
      <c r="G113" s="5">
        <f t="shared" si="10"/>
        <v>6.3037516880547981</v>
      </c>
      <c r="H113" s="5">
        <f t="shared" si="11"/>
        <v>6.2512007354095731</v>
      </c>
      <c r="I113" s="5">
        <f t="shared" si="12"/>
        <v>6.2084898886117408</v>
      </c>
      <c r="J113" s="5">
        <f t="shared" si="13"/>
        <v>6.1456857150341833</v>
      </c>
    </row>
    <row r="114" spans="1:10" x14ac:dyDescent="0.2">
      <c r="A114" s="9">
        <v>45413</v>
      </c>
      <c r="B114" s="5">
        <f>LN(Endeks!B114)</f>
        <v>6.3274545246038114</v>
      </c>
      <c r="C114" s="5">
        <f t="shared" si="8"/>
        <v>8.4683930016815623E-3</v>
      </c>
      <c r="D114" s="6">
        <f t="shared" si="9"/>
        <v>1.3401505914580891E-3</v>
      </c>
      <c r="E114" s="5">
        <f t="shared" si="14"/>
        <v>0.42580528181819322</v>
      </c>
      <c r="F114" s="6">
        <f t="shared" si="15"/>
        <v>7.2150218405255595E-2</v>
      </c>
      <c r="G114" s="5">
        <f t="shared" si="10"/>
        <v>6.3161211396516137</v>
      </c>
      <c r="H114" s="5">
        <f t="shared" si="11"/>
        <v>6.2794015953847406</v>
      </c>
      <c r="I114" s="5">
        <f t="shared" si="12"/>
        <v>6.2340839999154749</v>
      </c>
      <c r="J114" s="5">
        <f t="shared" si="13"/>
        <v>6.1811694885190329</v>
      </c>
    </row>
    <row r="115" spans="1:10" x14ac:dyDescent="0.2">
      <c r="A115" s="9">
        <v>45444</v>
      </c>
      <c r="B115" s="5">
        <f>LN(Endeks!B115)</f>
        <v>6.3367018296656594</v>
      </c>
      <c r="C115" s="5">
        <f t="shared" si="8"/>
        <v>9.2473050618480102E-3</v>
      </c>
      <c r="D115" s="6">
        <f t="shared" si="9"/>
        <v>1.4614573721376534E-3</v>
      </c>
      <c r="E115" s="5">
        <f t="shared" si="14"/>
        <v>0.38905856210652701</v>
      </c>
      <c r="F115" s="6">
        <f t="shared" si="15"/>
        <v>6.5413903390711292E-2</v>
      </c>
      <c r="G115" s="5">
        <f t="shared" si="10"/>
        <v>6.3277141619571999</v>
      </c>
      <c r="H115" s="5">
        <f t="shared" si="11"/>
        <v>6.305081574901628</v>
      </c>
      <c r="I115" s="5">
        <f t="shared" si="12"/>
        <v>6.2575686886934356</v>
      </c>
      <c r="J115" s="5">
        <f t="shared" si="13"/>
        <v>6.2135910353612447</v>
      </c>
    </row>
    <row r="116" spans="1:10" x14ac:dyDescent="0.2">
      <c r="A116" s="9">
        <v>45474</v>
      </c>
      <c r="B116" s="5">
        <f>LN(Endeks!B116)</f>
        <v>6.3703289734189674</v>
      </c>
      <c r="C116" s="5">
        <f t="shared" si="8"/>
        <v>3.3627143753307998E-2</v>
      </c>
      <c r="D116" s="6">
        <f t="shared" si="9"/>
        <v>5.3067265364894478E-3</v>
      </c>
      <c r="E116" s="5">
        <f t="shared" si="14"/>
        <v>0.34780190085916729</v>
      </c>
      <c r="F116" s="6">
        <f t="shared" si="15"/>
        <v>5.7750159803156897E-2</v>
      </c>
      <c r="G116" s="5">
        <f t="shared" si="10"/>
        <v>6.3448284425628119</v>
      </c>
      <c r="H116" s="5">
        <f t="shared" si="11"/>
        <v>6.3242900653088059</v>
      </c>
      <c r="I116" s="5">
        <f t="shared" si="12"/>
        <v>6.2824099711273185</v>
      </c>
      <c r="J116" s="5">
        <f t="shared" si="13"/>
        <v>6.2425745270995074</v>
      </c>
    </row>
    <row r="117" spans="1:10" x14ac:dyDescent="0.2">
      <c r="A117" s="9">
        <v>45505</v>
      </c>
      <c r="B117" s="5">
        <f>LN(Endeks!B117)</f>
        <v>6.3841652017650086</v>
      </c>
      <c r="C117" s="5">
        <f t="shared" si="8"/>
        <v>1.3836228346041146E-2</v>
      </c>
      <c r="D117" s="6">
        <f t="shared" si="9"/>
        <v>2.1719801918824722E-3</v>
      </c>
      <c r="E117" s="5">
        <f t="shared" si="14"/>
        <v>0.28705767889481137</v>
      </c>
      <c r="F117" s="6">
        <f t="shared" si="15"/>
        <v>4.7080960573199659E-2</v>
      </c>
      <c r="G117" s="5">
        <f t="shared" si="10"/>
        <v>6.3637320016165448</v>
      </c>
      <c r="H117" s="5">
        <f t="shared" si="11"/>
        <v>6.3399265706340797</v>
      </c>
      <c r="I117" s="5">
        <f t="shared" si="12"/>
        <v>6.3075117307953414</v>
      </c>
      <c r="J117" s="5">
        <f t="shared" si="13"/>
        <v>6.2664960003407435</v>
      </c>
    </row>
    <row r="118" spans="1:10" x14ac:dyDescent="0.2">
      <c r="A118" s="9">
        <v>45536</v>
      </c>
      <c r="B118" s="5">
        <f>LN(Endeks!B118)</f>
        <v>6.4017181719479437</v>
      </c>
      <c r="C118" s="5">
        <f t="shared" si="8"/>
        <v>1.7552970182935113E-2</v>
      </c>
      <c r="D118" s="6">
        <f t="shared" si="9"/>
        <v>2.74945425567652E-3</v>
      </c>
      <c r="E118" s="5">
        <f t="shared" si="14"/>
        <v>0.27637854128393435</v>
      </c>
      <c r="F118" s="6">
        <f t="shared" si="15"/>
        <v>4.5120525219590757E-2</v>
      </c>
      <c r="G118" s="5">
        <f t="shared" si="10"/>
        <v>6.3854041157106396</v>
      </c>
      <c r="H118" s="5">
        <f t="shared" si="11"/>
        <v>6.3565591388339193</v>
      </c>
      <c r="I118" s="5">
        <f t="shared" si="12"/>
        <v>6.331855755171298</v>
      </c>
      <c r="J118" s="5">
        <f t="shared" si="13"/>
        <v>6.2895275454477373</v>
      </c>
    </row>
    <row r="119" spans="1:10" x14ac:dyDescent="0.2">
      <c r="A119" s="9">
        <v>45566</v>
      </c>
      <c r="B119" s="5">
        <f>LN(Endeks!B119)</f>
        <v>6.4288642737464921</v>
      </c>
      <c r="C119" s="5">
        <f t="shared" si="8"/>
        <v>2.7146101798548372E-2</v>
      </c>
      <c r="D119" s="6">
        <f t="shared" si="9"/>
        <v>4.2404399989837138E-3</v>
      </c>
      <c r="E119" s="5">
        <f t="shared" si="14"/>
        <v>0.28210684223247462</v>
      </c>
      <c r="F119" s="6">
        <f t="shared" si="15"/>
        <v>4.5895229375106261E-2</v>
      </c>
      <c r="G119" s="5">
        <f t="shared" si="10"/>
        <v>6.4049158824864811</v>
      </c>
      <c r="H119" s="5">
        <f t="shared" si="11"/>
        <v>6.3748721625246469</v>
      </c>
      <c r="I119" s="5">
        <f t="shared" si="12"/>
        <v>6.3511653377013637</v>
      </c>
      <c r="J119" s="5">
        <f t="shared" si="13"/>
        <v>6.31303644896711</v>
      </c>
    </row>
    <row r="120" spans="1:10" x14ac:dyDescent="0.2">
      <c r="A120" s="9">
        <v>45597</v>
      </c>
      <c r="B120" s="5">
        <f>LN(Endeks!B120)</f>
        <v>6.4428426684805515</v>
      </c>
      <c r="C120" s="5">
        <f t="shared" si="8"/>
        <v>1.3978394734059485E-2</v>
      </c>
      <c r="D120" s="6">
        <f t="shared" si="9"/>
        <v>2.1743179104189991E-3</v>
      </c>
      <c r="E120" s="5">
        <f t="shared" si="14"/>
        <v>0.28459330372774438</v>
      </c>
      <c r="F120" s="6">
        <f t="shared" si="15"/>
        <v>4.621334520109488E-2</v>
      </c>
      <c r="G120" s="5">
        <f t="shared" si="10"/>
        <v>6.4244750380583291</v>
      </c>
      <c r="H120" s="5">
        <f t="shared" si="11"/>
        <v>6.3941035198374365</v>
      </c>
      <c r="I120" s="5">
        <f t="shared" si="12"/>
        <v>6.3681093931088286</v>
      </c>
      <c r="J120" s="5">
        <f t="shared" si="13"/>
        <v>6.3367525576110886</v>
      </c>
    </row>
    <row r="121" spans="1:10" x14ac:dyDescent="0.2">
      <c r="A121" s="9">
        <v>45627</v>
      </c>
      <c r="B121" s="5">
        <f>LN(Endeks!B121)</f>
        <v>6.4639338839966207</v>
      </c>
      <c r="C121" s="5">
        <f t="shared" si="8"/>
        <v>2.1091215516069184E-2</v>
      </c>
      <c r="D121" s="6">
        <f t="shared" si="9"/>
        <v>3.2735884765975332E-3</v>
      </c>
      <c r="E121" s="5">
        <f t="shared" si="14"/>
        <v>0.28131193143228472</v>
      </c>
      <c r="F121" s="6">
        <f t="shared" si="15"/>
        <v>4.550042580488145E-2</v>
      </c>
      <c r="G121" s="5">
        <f t="shared" si="10"/>
        <v>6.4452136087412208</v>
      </c>
      <c r="H121" s="5">
        <f t="shared" si="11"/>
        <v>6.4153088622259302</v>
      </c>
      <c r="I121" s="5">
        <f t="shared" si="12"/>
        <v>6.3861106288030198</v>
      </c>
      <c r="J121" s="5">
        <f t="shared" si="13"/>
        <v>6.3601952185637787</v>
      </c>
    </row>
    <row r="122" spans="1:10" x14ac:dyDescent="0.2">
      <c r="A122" s="9">
        <v>45658</v>
      </c>
      <c r="B122" s="5">
        <f>LN(Endeks!B122)</f>
        <v>6.5211806175540028</v>
      </c>
      <c r="C122" s="5">
        <f t="shared" si="8"/>
        <v>5.7246733557382079E-2</v>
      </c>
      <c r="D122" s="6">
        <f t="shared" si="9"/>
        <v>8.8563303067057397E-3</v>
      </c>
      <c r="E122" s="5">
        <f t="shared" si="14"/>
        <v>0.26610258657809815</v>
      </c>
      <c r="F122" s="6">
        <f t="shared" si="15"/>
        <v>4.2541849239981611E-2</v>
      </c>
      <c r="G122" s="5">
        <f t="shared" si="10"/>
        <v>6.475985723343725</v>
      </c>
      <c r="H122" s="5">
        <f t="shared" si="11"/>
        <v>6.4404508029151026</v>
      </c>
      <c r="I122" s="5">
        <f t="shared" si="12"/>
        <v>6.4085766827976736</v>
      </c>
      <c r="J122" s="5">
        <f t="shared" si="13"/>
        <v>6.3823704341119551</v>
      </c>
    </row>
    <row r="123" spans="1:10" x14ac:dyDescent="0.2">
      <c r="A123" s="9">
        <v>45689</v>
      </c>
      <c r="B123" s="5">
        <f>LN(Endeks!B123)</f>
        <v>6.5443721712533396</v>
      </c>
      <c r="C123" s="5">
        <f t="shared" si="8"/>
        <v>2.3191553699336787E-2</v>
      </c>
      <c r="D123" s="6">
        <f t="shared" si="9"/>
        <v>3.5563427942646442E-3</v>
      </c>
      <c r="E123" s="5">
        <f t="shared" si="14"/>
        <v>0.25402600143997667</v>
      </c>
      <c r="F123" s="6">
        <f t="shared" si="15"/>
        <v>4.038346930078629E-2</v>
      </c>
      <c r="G123" s="5">
        <f t="shared" si="10"/>
        <v>6.5098288909346538</v>
      </c>
      <c r="H123" s="5">
        <f t="shared" si="11"/>
        <v>6.4671519644964919</v>
      </c>
      <c r="I123" s="5">
        <f t="shared" si="12"/>
        <v>6.4326786435365086</v>
      </c>
      <c r="J123" s="5">
        <f t="shared" si="13"/>
        <v>6.4035392675652858</v>
      </c>
    </row>
    <row r="124" spans="1:10" x14ac:dyDescent="0.2">
      <c r="A124" s="9">
        <v>45717</v>
      </c>
      <c r="B124" s="5">
        <f>LN(Endeks!B124)</f>
        <v>6.5621756960963857</v>
      </c>
      <c r="C124" s="5">
        <f t="shared" si="8"/>
        <v>1.7803524843046148E-2</v>
      </c>
      <c r="D124" s="6">
        <f t="shared" si="9"/>
        <v>2.7204328203169759E-3</v>
      </c>
      <c r="E124" s="5">
        <f t="shared" si="14"/>
        <v>0.260252933347485</v>
      </c>
      <c r="F124" s="6">
        <f t="shared" si="15"/>
        <v>4.1297385440179912E-2</v>
      </c>
      <c r="G124" s="5">
        <f t="shared" si="10"/>
        <v>6.5425761616345754</v>
      </c>
      <c r="H124" s="5">
        <f t="shared" si="11"/>
        <v>6.493894885187899</v>
      </c>
      <c r="I124" s="5">
        <f t="shared" si="12"/>
        <v>6.4577312953621453</v>
      </c>
      <c r="J124" s="5">
        <f t="shared" si="13"/>
        <v>6.4252270120109083</v>
      </c>
    </row>
    <row r="125" spans="1:10" x14ac:dyDescent="0.2">
      <c r="A125" s="9">
        <v>45748</v>
      </c>
      <c r="B125" s="5">
        <f>LN(Endeks!B125)</f>
        <v>6.582288262167598</v>
      </c>
      <c r="C125" s="5">
        <f t="shared" si="8"/>
        <v>2.0112566071212257E-2</v>
      </c>
      <c r="D125" s="6">
        <f t="shared" si="9"/>
        <v>3.0649234343385068E-3</v>
      </c>
      <c r="E125" s="5">
        <f t="shared" si="14"/>
        <v>0.26330213056546814</v>
      </c>
      <c r="F125" s="6">
        <f t="shared" si="15"/>
        <v>4.1668414059125247E-2</v>
      </c>
      <c r="G125" s="5">
        <f t="shared" si="10"/>
        <v>6.5629453765057741</v>
      </c>
      <c r="H125" s="5">
        <f t="shared" si="11"/>
        <v>6.5194655499247487</v>
      </c>
      <c r="I125" s="5">
        <f t="shared" si="12"/>
        <v>6.4812823274453262</v>
      </c>
      <c r="J125" s="5">
        <f t="shared" si="13"/>
        <v>6.4471688562246987</v>
      </c>
    </row>
    <row r="126" spans="1:10" x14ac:dyDescent="0.2">
      <c r="A126" s="9">
        <v>45778</v>
      </c>
      <c r="B126" s="5">
        <f>LN(Endeks!B126)</f>
        <v>6.6035779040011588</v>
      </c>
      <c r="C126" s="5">
        <f t="shared" si="8"/>
        <v>2.1289641833560857E-2</v>
      </c>
      <c r="D126" s="6">
        <f t="shared" si="9"/>
        <v>3.2343830877059609E-3</v>
      </c>
      <c r="E126" s="5">
        <f t="shared" si="14"/>
        <v>0.27612337939734743</v>
      </c>
      <c r="F126" s="6">
        <f t="shared" si="15"/>
        <v>4.3638935423978786E-2</v>
      </c>
      <c r="G126" s="5">
        <f t="shared" si="10"/>
        <v>6.5826806207550481</v>
      </c>
      <c r="H126" s="5">
        <f t="shared" si="11"/>
        <v>6.5462547558448501</v>
      </c>
      <c r="I126" s="5">
        <f t="shared" si="12"/>
        <v>6.505661516582677</v>
      </c>
      <c r="J126" s="5">
        <f t="shared" si="13"/>
        <v>6.4701791378411428</v>
      </c>
    </row>
    <row r="127" spans="1:10" x14ac:dyDescent="0.2">
      <c r="A127" s="9">
        <v>45809</v>
      </c>
      <c r="B127" s="5">
        <f>LN(Endeks!B127)</f>
        <v>6.6284513450408671</v>
      </c>
      <c r="C127" s="5">
        <f t="shared" si="8"/>
        <v>2.4873441039708233E-2</v>
      </c>
      <c r="D127" s="6">
        <f t="shared" si="9"/>
        <v>3.7666612556561674E-3</v>
      </c>
      <c r="E127" s="5">
        <f t="shared" si="14"/>
        <v>0.29174951537520766</v>
      </c>
      <c r="F127" s="6">
        <f t="shared" si="15"/>
        <v>4.6041225106941974E-2</v>
      </c>
      <c r="G127" s="5">
        <f t="shared" si="10"/>
        <v>6.604772503736541</v>
      </c>
      <c r="H127" s="5">
        <f t="shared" si="11"/>
        <v>6.5736743326855587</v>
      </c>
      <c r="I127" s="5">
        <f t="shared" si="12"/>
        <v>6.5308540913707791</v>
      </c>
      <c r="J127" s="5">
        <f t="shared" si="13"/>
        <v>6.4944915974557444</v>
      </c>
    </row>
    <row r="128" spans="1:10" x14ac:dyDescent="0.2">
      <c r="A128" s="9">
        <v>45839</v>
      </c>
      <c r="B128" s="5">
        <f>LN(Endeks!B128)</f>
        <v>6.664613081161237</v>
      </c>
      <c r="C128" s="5">
        <f t="shared" si="8"/>
        <v>3.6161736120369881E-2</v>
      </c>
      <c r="D128" s="6">
        <f t="shared" si="9"/>
        <v>5.4555331612149427E-3</v>
      </c>
      <c r="E128" s="5">
        <f t="shared" si="14"/>
        <v>0.29428410774226954</v>
      </c>
      <c r="F128" s="6">
        <f t="shared" si="15"/>
        <v>4.6196061297651747E-2</v>
      </c>
      <c r="G128" s="5">
        <f t="shared" si="10"/>
        <v>6.6322141100677543</v>
      </c>
      <c r="H128" s="5">
        <f t="shared" si="11"/>
        <v>6.5975797432867642</v>
      </c>
      <c r="I128" s="5">
        <f t="shared" si="12"/>
        <v>6.5570484033057497</v>
      </c>
      <c r="J128" s="5">
        <f t="shared" si="13"/>
        <v>6.5190152731009334</v>
      </c>
    </row>
    <row r="129" spans="1:10" x14ac:dyDescent="0.2">
      <c r="A129" s="9">
        <v>45870</v>
      </c>
      <c r="B129" s="5">
        <f>LN(Endeks!B129)</f>
        <v>6.6774989920307242</v>
      </c>
      <c r="C129" s="5">
        <f t="shared" si="8"/>
        <v>1.2885910869487205E-2</v>
      </c>
      <c r="D129" s="6">
        <f t="shared" si="9"/>
        <v>1.9334822160812504E-3</v>
      </c>
      <c r="E129" s="5">
        <f t="shared" si="14"/>
        <v>0.2933337902657156</v>
      </c>
      <c r="F129" s="6">
        <f t="shared" si="15"/>
        <v>4.5947086423236527E-2</v>
      </c>
      <c r="G129" s="5">
        <f t="shared" si="10"/>
        <v>6.6568544727442758</v>
      </c>
      <c r="H129" s="5">
        <f t="shared" si="11"/>
        <v>6.6197675467496611</v>
      </c>
      <c r="I129" s="5">
        <f t="shared" si="12"/>
        <v>6.5831213281446583</v>
      </c>
      <c r="J129" s="5">
        <f t="shared" si="13"/>
        <v>6.5434597556230765</v>
      </c>
    </row>
    <row r="130" spans="1:10" x14ac:dyDescent="0.2">
      <c r="A130" s="9">
        <v>45901</v>
      </c>
      <c r="B130" s="5">
        <f>LN(Endeks!B130)</f>
        <v>6.6988227707618906</v>
      </c>
      <c r="C130" s="5">
        <f t="shared" si="8"/>
        <v>2.1323778731166421E-2</v>
      </c>
      <c r="D130" s="6">
        <f t="shared" si="9"/>
        <v>3.1933780531625544E-3</v>
      </c>
      <c r="E130" s="5">
        <f t="shared" si="14"/>
        <v>0.29710459881394691</v>
      </c>
      <c r="F130" s="6">
        <f t="shared" si="15"/>
        <v>4.641013409741257E-2</v>
      </c>
      <c r="G130" s="5">
        <f t="shared" si="10"/>
        <v>6.6803116146512842</v>
      </c>
      <c r="H130" s="5">
        <f t="shared" si="11"/>
        <v>6.6425420591939117</v>
      </c>
      <c r="I130" s="5">
        <f t="shared" si="12"/>
        <v>6.6092200933407996</v>
      </c>
      <c r="J130" s="5">
        <f t="shared" si="13"/>
        <v>6.5682184721909058</v>
      </c>
    </row>
    <row r="131" spans="1:10" x14ac:dyDescent="0.2">
      <c r="A131" s="9">
        <v>45931</v>
      </c>
      <c r="B131" s="5">
        <f>LN(Endeks!B131)</f>
        <v>6.7190252316070156</v>
      </c>
      <c r="C131" s="5">
        <f t="shared" si="8"/>
        <v>2.0202460845125003E-2</v>
      </c>
      <c r="D131" s="6">
        <f t="shared" si="9"/>
        <v>3.0158225611374156E-3</v>
      </c>
      <c r="E131" s="5">
        <f t="shared" si="14"/>
        <v>0.29016095786052354</v>
      </c>
      <c r="F131" s="6">
        <f t="shared" si="15"/>
        <v>4.5134092975870121E-2</v>
      </c>
      <c r="G131" s="5">
        <f t="shared" si="10"/>
        <v>6.6984489981332098</v>
      </c>
      <c r="H131" s="5">
        <f t="shared" si="11"/>
        <v>6.6653315541004821</v>
      </c>
      <c r="I131" s="5">
        <f t="shared" si="12"/>
        <v>6.6312028282355797</v>
      </c>
      <c r="J131" s="5">
        <f t="shared" si="13"/>
        <v>6.5923985520126154</v>
      </c>
    </row>
    <row r="132" spans="1:10" x14ac:dyDescent="0.2">
      <c r="A132" s="9">
        <v>45962</v>
      </c>
      <c r="B132" s="5">
        <f>LN(Endeks!B132)</f>
        <v>6.7372753327507793</v>
      </c>
      <c r="C132" s="5">
        <f t="shared" ref="C132:C136" si="16">B132-B131</f>
        <v>1.8250101143763686E-2</v>
      </c>
      <c r="D132" s="6">
        <f t="shared" ref="D132:D136" si="17">B132/B131-1</f>
        <v>2.7161828560955392E-3</v>
      </c>
      <c r="E132" s="5">
        <f t="shared" si="14"/>
        <v>0.29443266427022774</v>
      </c>
      <c r="F132" s="6">
        <f t="shared" si="15"/>
        <v>4.5699185812908549E-2</v>
      </c>
      <c r="G132" s="5">
        <f t="shared" si="10"/>
        <v>6.7183744450398954</v>
      </c>
      <c r="H132" s="5">
        <f t="shared" si="11"/>
        <v>6.6876144588920852</v>
      </c>
      <c r="I132" s="5">
        <f t="shared" si="12"/>
        <v>6.6526365128464056</v>
      </c>
      <c r="J132" s="5">
        <f t="shared" si="13"/>
        <v>6.6169346073684681</v>
      </c>
    </row>
    <row r="133" spans="1:10" x14ac:dyDescent="0.2">
      <c r="A133" s="9">
        <v>45992</v>
      </c>
      <c r="B133" s="5">
        <f>LN(Endeks!B133)</f>
        <v>6.7502238909954011</v>
      </c>
      <c r="C133" s="5">
        <f t="shared" si="16"/>
        <v>1.2948558244621822E-2</v>
      </c>
      <c r="D133" s="6">
        <f t="shared" si="17"/>
        <v>1.9219280206164147E-3</v>
      </c>
      <c r="E133" s="5">
        <f t="shared" si="14"/>
        <v>0.28629000699878038</v>
      </c>
      <c r="F133" s="6">
        <f t="shared" si="15"/>
        <v>4.4290367466099267E-2</v>
      </c>
      <c r="G133" s="5">
        <f t="shared" ref="G133:G136" si="18">AVERAGE(B131:B133)</f>
        <v>6.7355081517843987</v>
      </c>
      <c r="H133" s="5">
        <f t="shared" si="11"/>
        <v>6.707909883217841</v>
      </c>
      <c r="I133" s="5">
        <f t="shared" si="12"/>
        <v>6.6735307567240731</v>
      </c>
      <c r="J133" s="5">
        <f t="shared" si="13"/>
        <v>6.6407921079517003</v>
      </c>
    </row>
    <row r="134" spans="1:10" x14ac:dyDescent="0.2">
      <c r="A134" s="9">
        <v>46023</v>
      </c>
      <c r="B134" s="5">
        <f>LN(Endeks!B134)</f>
        <v>6.7880591645569446</v>
      </c>
      <c r="C134" s="5">
        <f t="shared" si="16"/>
        <v>3.7835273561543481E-2</v>
      </c>
      <c r="D134" s="6">
        <f t="shared" si="17"/>
        <v>5.6050397990523582E-3</v>
      </c>
      <c r="E134" s="5">
        <f t="shared" si="14"/>
        <v>0.26687854700294178</v>
      </c>
      <c r="F134" s="6">
        <f t="shared" si="15"/>
        <v>4.0924881958421144E-2</v>
      </c>
      <c r="G134" s="5">
        <f t="shared" si="18"/>
        <v>6.7585194627677083</v>
      </c>
      <c r="H134" s="5">
        <f t="shared" si="11"/>
        <v>6.7284842304504595</v>
      </c>
      <c r="I134" s="5">
        <f t="shared" si="12"/>
        <v>6.6963941903228896</v>
      </c>
      <c r="J134" s="5">
        <f t="shared" si="13"/>
        <v>6.663031986868611</v>
      </c>
    </row>
    <row r="135" spans="1:10" x14ac:dyDescent="0.2">
      <c r="A135" s="9">
        <v>46054</v>
      </c>
      <c r="B135" s="5">
        <f>LN(Endeks!B135)</f>
        <v>6.8185961426623187</v>
      </c>
      <c r="C135" s="5">
        <f t="shared" si="16"/>
        <v>3.0536978105374146E-2</v>
      </c>
      <c r="D135" s="6">
        <f t="shared" si="17"/>
        <v>4.498631695023958E-3</v>
      </c>
      <c r="E135" s="5">
        <f t="shared" si="14"/>
        <v>0.27422397140897914</v>
      </c>
      <c r="F135" s="6">
        <f t="shared" si="15"/>
        <v>4.1902258036841111E-2</v>
      </c>
      <c r="G135" s="5">
        <f t="shared" si="18"/>
        <v>6.7856263994048875</v>
      </c>
      <c r="H135" s="5">
        <f t="shared" si="11"/>
        <v>6.7520004222223919</v>
      </c>
      <c r="I135" s="5">
        <f t="shared" si="12"/>
        <v>6.7202851057296851</v>
      </c>
      <c r="J135" s="5">
        <f t="shared" si="13"/>
        <v>6.6858839844860256</v>
      </c>
    </row>
    <row r="136" spans="1:10" x14ac:dyDescent="0.2">
      <c r="A136" s="9">
        <v>46082</v>
      </c>
      <c r="B136" s="5">
        <f>LN(Endeks!B136)</f>
        <v>6.8567987699812845</v>
      </c>
      <c r="C136" s="5">
        <f t="shared" si="16"/>
        <v>3.8202627318965732E-2</v>
      </c>
      <c r="D136" s="6">
        <f t="shared" si="17"/>
        <v>5.6027115435011154E-3</v>
      </c>
      <c r="E136" s="5">
        <f t="shared" si="14"/>
        <v>0.29462307388489872</v>
      </c>
      <c r="F136" s="6">
        <f t="shared" si="15"/>
        <v>4.489716330822402E-2</v>
      </c>
      <c r="G136" s="5">
        <f t="shared" si="18"/>
        <v>6.8211513590668496</v>
      </c>
      <c r="H136" s="5">
        <f t="shared" ref="H136" si="19">AVERAGE(B131:B136)</f>
        <v>6.7783297554256237</v>
      </c>
      <c r="I136" s="5">
        <f t="shared" si="12"/>
        <v>6.7456570418341766</v>
      </c>
      <c r="J136" s="5">
        <f t="shared" si="13"/>
        <v>6.7104359073097664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1B7F4-D68D-2048-9FA1-EA118F68F4A9}">
  <dimension ref="A1"/>
  <sheetViews>
    <sheetView workbookViewId="0"/>
  </sheetViews>
  <sheetFormatPr baseColWidth="10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Veri</vt:lpstr>
      <vt:lpstr>Endeks</vt:lpstr>
      <vt:lpstr>Log</vt:lpstr>
      <vt:lpstr>Desc. Stat.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Ertuğrul Tuti</cp:lastModifiedBy>
  <dcterms:created xsi:type="dcterms:W3CDTF">2026-05-26T20:57:02Z</dcterms:created>
  <dcterms:modified xsi:type="dcterms:W3CDTF">2026-05-26T22:20:21Z</dcterms:modified>
</cp:coreProperties>
</file>