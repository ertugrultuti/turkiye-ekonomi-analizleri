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tugrultuti/Desktop/Analiz/04.2026/13. Finansman Şirketleri Ticari Kredi Büyüklükleri'nin Analizi (Basit)/"/>
    </mc:Choice>
  </mc:AlternateContent>
  <xr:revisionPtr revIDLastSave="0" documentId="13_ncr:1_{15AD406F-7884-894E-BE30-1DE6B9B791D4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0. Yönetici Özeti" sheetId="10" r:id="rId1"/>
    <sheet name="1. Ham Veri" sheetId="4" r:id="rId2"/>
    <sheet name="2. İstatistikler" sheetId="5" r:id="rId3"/>
    <sheet name="3. Büyüme Analizi" sheetId="6" r:id="rId4"/>
    <sheet name="4. Mevsimsellik" sheetId="7" r:id="rId5"/>
    <sheet name="5. TL-YP Analizi" sheetId="8" r:id="rId6"/>
    <sheet name="6. Tahmin" sheetId="11" r:id="rId7"/>
  </sheets>
  <definedNames>
    <definedName name="solver_eng" localSheetId="6" hidden="1">1</definedName>
    <definedName name="solver_lin" localSheetId="6" hidden="1">2</definedName>
    <definedName name="solver_neg" localSheetId="6" hidden="1">1</definedName>
    <definedName name="solver_num" localSheetId="6" hidden="1">0</definedName>
    <definedName name="solver_opt" localSheetId="6" hidden="1">'6. Tahmin'!$A$1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1" l="1"/>
  <c r="R4" i="11"/>
  <c r="Q5" i="11"/>
  <c r="R5" i="11"/>
  <c r="Q6" i="11"/>
  <c r="R6" i="11"/>
  <c r="Q7" i="11"/>
  <c r="R7" i="11"/>
  <c r="Q8" i="11"/>
  <c r="R8" i="11"/>
  <c r="Q9" i="11"/>
  <c r="R9" i="11"/>
  <c r="Q10" i="11"/>
  <c r="R10" i="11"/>
  <c r="Q11" i="11"/>
  <c r="R11" i="11"/>
  <c r="Q12" i="11"/>
  <c r="R12" i="11"/>
  <c r="Q13" i="11"/>
  <c r="R13" i="11"/>
  <c r="Q14" i="11"/>
  <c r="R14" i="11"/>
  <c r="Q15" i="11"/>
  <c r="R15" i="11"/>
  <c r="Q16" i="11"/>
  <c r="R16" i="11"/>
  <c r="Q17" i="11"/>
  <c r="R17" i="11"/>
  <c r="Q18" i="11"/>
  <c r="R18" i="11"/>
  <c r="Q19" i="11"/>
  <c r="R19" i="11"/>
  <c r="Q20" i="11"/>
  <c r="R20" i="11"/>
  <c r="Q21" i="11"/>
  <c r="R21" i="11"/>
  <c r="Q22" i="11"/>
  <c r="R22" i="11"/>
  <c r="Q23" i="11"/>
  <c r="R23" i="11"/>
  <c r="Q24" i="11"/>
  <c r="R24" i="11"/>
  <c r="Q25" i="11"/>
  <c r="R25" i="11"/>
  <c r="Q26" i="11"/>
  <c r="R26" i="11"/>
  <c r="Q27" i="11"/>
  <c r="R27" i="11"/>
  <c r="Q28" i="11"/>
  <c r="R28" i="11"/>
  <c r="Q29" i="11"/>
  <c r="R29" i="11"/>
  <c r="Q30" i="11"/>
  <c r="R30" i="11"/>
  <c r="Q31" i="11"/>
  <c r="R31" i="11"/>
  <c r="Q32" i="11"/>
  <c r="R32" i="11"/>
  <c r="Q33" i="11"/>
  <c r="R33" i="11"/>
  <c r="Q34" i="11"/>
  <c r="R34" i="11"/>
  <c r="Q35" i="11"/>
  <c r="R35" i="11"/>
  <c r="Q36" i="11"/>
  <c r="R36" i="11"/>
  <c r="Q37" i="11"/>
  <c r="R37" i="11"/>
  <c r="Q38" i="11"/>
  <c r="R38" i="11"/>
  <c r="Q39" i="11"/>
  <c r="R39" i="11"/>
  <c r="Q40" i="11"/>
  <c r="R40" i="11"/>
  <c r="Q41" i="11"/>
  <c r="R41" i="11"/>
  <c r="Q42" i="11"/>
  <c r="R42" i="11"/>
  <c r="Q43" i="11"/>
  <c r="R43" i="11"/>
  <c r="Q44" i="11"/>
  <c r="R44" i="11"/>
  <c r="Q45" i="11"/>
  <c r="R45" i="11"/>
  <c r="Q46" i="11"/>
  <c r="R46" i="11"/>
  <c r="Q47" i="11"/>
  <c r="R47" i="11"/>
  <c r="Q48" i="11"/>
  <c r="R48" i="11"/>
  <c r="Q49" i="11"/>
  <c r="R49" i="11"/>
  <c r="Q50" i="11"/>
  <c r="R50" i="11"/>
  <c r="Q51" i="11"/>
  <c r="R51" i="11"/>
  <c r="Q52" i="11"/>
  <c r="R52" i="11"/>
  <c r="Q53" i="11"/>
  <c r="R53" i="11"/>
  <c r="Q54" i="11"/>
  <c r="R54" i="11"/>
  <c r="Q55" i="11"/>
  <c r="R55" i="11"/>
  <c r="Q56" i="11"/>
  <c r="R56" i="11"/>
  <c r="Q57" i="11"/>
  <c r="R57" i="11"/>
  <c r="Q58" i="11"/>
  <c r="R58" i="11"/>
  <c r="Q59" i="11"/>
  <c r="R59" i="11"/>
  <c r="Q60" i="11"/>
  <c r="R60" i="11"/>
  <c r="Q61" i="11"/>
  <c r="R61" i="11"/>
  <c r="Q62" i="11"/>
  <c r="R62" i="11"/>
  <c r="Q63" i="11"/>
  <c r="R63" i="11"/>
  <c r="Q64" i="11"/>
  <c r="R64" i="11"/>
  <c r="Q65" i="11"/>
  <c r="R65" i="11"/>
  <c r="Q66" i="11"/>
  <c r="R66" i="11"/>
  <c r="Q67" i="11"/>
  <c r="R67" i="11"/>
  <c r="Q68" i="11"/>
  <c r="R68" i="11"/>
  <c r="Q69" i="11"/>
  <c r="R69" i="11"/>
  <c r="Q70" i="11"/>
  <c r="R70" i="11"/>
  <c r="Q71" i="11"/>
  <c r="R71" i="11"/>
  <c r="Q72" i="11"/>
  <c r="R72" i="11"/>
  <c r="Q73" i="11"/>
  <c r="R73" i="11"/>
  <c r="Q74" i="11"/>
  <c r="R74" i="11"/>
  <c r="Q75" i="11"/>
  <c r="R75" i="11"/>
  <c r="Q76" i="11"/>
  <c r="R76" i="11"/>
  <c r="Q77" i="11"/>
  <c r="R77" i="11"/>
  <c r="Q78" i="11"/>
  <c r="R78" i="11"/>
  <c r="Q79" i="11"/>
  <c r="R79" i="11"/>
  <c r="Q80" i="11"/>
  <c r="R80" i="11"/>
  <c r="Q81" i="11"/>
  <c r="R81" i="11"/>
  <c r="Q82" i="11"/>
  <c r="R82" i="11"/>
  <c r="Q83" i="11"/>
  <c r="R83" i="11"/>
  <c r="Q84" i="11"/>
  <c r="R84" i="11"/>
  <c r="Q85" i="11"/>
  <c r="R85" i="11"/>
  <c r="Q86" i="11"/>
  <c r="R86" i="11"/>
  <c r="Q87" i="11"/>
  <c r="R87" i="11"/>
  <c r="Q88" i="11"/>
  <c r="R88" i="11"/>
  <c r="Q89" i="11"/>
  <c r="R89" i="11"/>
  <c r="Q90" i="11"/>
  <c r="R90" i="11"/>
  <c r="Q91" i="11"/>
  <c r="R91" i="11"/>
  <c r="Q92" i="11"/>
  <c r="R92" i="11"/>
  <c r="Q93" i="11"/>
  <c r="R93" i="11"/>
  <c r="Q94" i="11"/>
  <c r="R94" i="11"/>
  <c r="Q95" i="11"/>
  <c r="R95" i="11"/>
  <c r="R3" i="11"/>
  <c r="Q3" i="11"/>
  <c r="J90" i="11"/>
  <c r="J91" i="11"/>
  <c r="J92" i="11"/>
  <c r="J93" i="11"/>
  <c r="J94" i="11"/>
  <c r="J95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55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55" i="11"/>
  <c r="G4" i="11"/>
  <c r="H4" i="11"/>
  <c r="G5" i="11"/>
  <c r="H5" i="11"/>
  <c r="G6" i="11"/>
  <c r="H6" i="11"/>
  <c r="G7" i="11"/>
  <c r="H7" i="11"/>
  <c r="G8" i="11"/>
  <c r="H8" i="11"/>
  <c r="G9" i="11"/>
  <c r="H9" i="11"/>
  <c r="G10" i="11"/>
  <c r="H10" i="11"/>
  <c r="G11" i="11"/>
  <c r="H11" i="11"/>
  <c r="G12" i="11"/>
  <c r="H12" i="11"/>
  <c r="G13" i="11"/>
  <c r="H13" i="11"/>
  <c r="G14" i="11"/>
  <c r="H14" i="11"/>
  <c r="G15" i="11"/>
  <c r="H15" i="11"/>
  <c r="G16" i="11"/>
  <c r="H16" i="11"/>
  <c r="G17" i="11"/>
  <c r="H17" i="11"/>
  <c r="G18" i="11"/>
  <c r="H18" i="11"/>
  <c r="G19" i="11"/>
  <c r="H19" i="11"/>
  <c r="G20" i="11"/>
  <c r="H20" i="11"/>
  <c r="G21" i="11"/>
  <c r="H21" i="11"/>
  <c r="G22" i="11"/>
  <c r="H22" i="11"/>
  <c r="G23" i="11"/>
  <c r="H23" i="11"/>
  <c r="G24" i="11"/>
  <c r="H24" i="11"/>
  <c r="G25" i="11"/>
  <c r="H25" i="11"/>
  <c r="G26" i="11"/>
  <c r="H26" i="11"/>
  <c r="G27" i="11"/>
  <c r="H27" i="11"/>
  <c r="G28" i="11"/>
  <c r="H28" i="11"/>
  <c r="G29" i="11"/>
  <c r="H29" i="11"/>
  <c r="G30" i="11"/>
  <c r="H30" i="11"/>
  <c r="G31" i="11"/>
  <c r="H31" i="11"/>
  <c r="G32" i="11"/>
  <c r="H32" i="11"/>
  <c r="G33" i="11"/>
  <c r="H33" i="11"/>
  <c r="G34" i="11"/>
  <c r="H34" i="11"/>
  <c r="G35" i="11"/>
  <c r="H35" i="11"/>
  <c r="G36" i="11"/>
  <c r="H36" i="11"/>
  <c r="G37" i="11"/>
  <c r="H37" i="11"/>
  <c r="G38" i="11"/>
  <c r="H38" i="11"/>
  <c r="G39" i="11"/>
  <c r="H39" i="11"/>
  <c r="G40" i="11"/>
  <c r="H40" i="11"/>
  <c r="G41" i="11"/>
  <c r="H41" i="11"/>
  <c r="G42" i="11"/>
  <c r="H42" i="11"/>
  <c r="G43" i="11"/>
  <c r="H43" i="11"/>
  <c r="G44" i="11"/>
  <c r="H44" i="11"/>
  <c r="G45" i="11"/>
  <c r="H45" i="11"/>
  <c r="G46" i="11"/>
  <c r="H46" i="11"/>
  <c r="G47" i="11"/>
  <c r="H47" i="11"/>
  <c r="G48" i="11"/>
  <c r="H48" i="11"/>
  <c r="G49" i="11"/>
  <c r="H49" i="11"/>
  <c r="G50" i="11"/>
  <c r="H50" i="11"/>
  <c r="G51" i="11"/>
  <c r="H51" i="11"/>
  <c r="G52" i="11"/>
  <c r="H52" i="11"/>
  <c r="G53" i="11"/>
  <c r="H53" i="11"/>
  <c r="G54" i="11"/>
  <c r="H54" i="11"/>
  <c r="H3" i="11"/>
  <c r="G3" i="11"/>
  <c r="D16" i="10"/>
  <c r="E15" i="10"/>
  <c r="D15" i="10"/>
  <c r="E14" i="10"/>
  <c r="D14" i="10"/>
  <c r="E13" i="10"/>
  <c r="D13" i="10"/>
  <c r="E12" i="10"/>
  <c r="D12" i="10"/>
  <c r="D9" i="10"/>
  <c r="D8" i="10"/>
  <c r="D7" i="10"/>
  <c r="D6" i="10"/>
  <c r="D5" i="10"/>
  <c r="C21" i="8"/>
  <c r="C20" i="8"/>
  <c r="C19" i="8"/>
  <c r="B21" i="8"/>
  <c r="B20" i="8"/>
  <c r="D20" i="8" s="1"/>
  <c r="B19" i="8"/>
  <c r="D21" i="8"/>
  <c r="D19" i="8"/>
  <c r="C14" i="8"/>
  <c r="C13" i="8"/>
  <c r="C12" i="8"/>
  <c r="B14" i="8"/>
  <c r="B13" i="8"/>
  <c r="B12" i="8"/>
  <c r="C15" i="8"/>
  <c r="B15" i="8"/>
  <c r="C11" i="8"/>
  <c r="B11" i="8"/>
  <c r="C10" i="8"/>
  <c r="B10" i="8"/>
  <c r="D5" i="8"/>
  <c r="D4" i="8"/>
  <c r="C4" i="8"/>
  <c r="B5" i="8" s="1"/>
  <c r="D6" i="8"/>
  <c r="C6" i="8"/>
  <c r="C5" i="8"/>
  <c r="B6" i="8"/>
  <c r="B4" i="8"/>
  <c r="B29" i="7"/>
  <c r="B28" i="7"/>
  <c r="B27" i="7"/>
  <c r="B26" i="7"/>
  <c r="B25" i="7"/>
  <c r="B24" i="7"/>
  <c r="B23" i="7"/>
  <c r="B22" i="7"/>
  <c r="B21" i="7"/>
  <c r="B20" i="7"/>
  <c r="B19" i="7"/>
  <c r="B18" i="7"/>
  <c r="D15" i="7"/>
  <c r="D14" i="7"/>
  <c r="D13" i="7"/>
  <c r="D12" i="7"/>
  <c r="D11" i="7"/>
  <c r="D10" i="7"/>
  <c r="D9" i="7"/>
  <c r="D8" i="7"/>
  <c r="D7" i="7"/>
  <c r="D6" i="7"/>
  <c r="D5" i="7"/>
  <c r="D4" i="7"/>
  <c r="C15" i="7"/>
  <c r="C14" i="7"/>
  <c r="C13" i="7"/>
  <c r="C12" i="7"/>
  <c r="C11" i="7"/>
  <c r="C10" i="7"/>
  <c r="C9" i="7"/>
  <c r="C8" i="7"/>
  <c r="C7" i="7"/>
  <c r="C6" i="7"/>
  <c r="C5" i="7"/>
  <c r="C4" i="7"/>
  <c r="B15" i="7"/>
  <c r="B14" i="7"/>
  <c r="B13" i="7"/>
  <c r="B12" i="7"/>
  <c r="B11" i="7"/>
  <c r="B10" i="7"/>
  <c r="B9" i="7"/>
  <c r="B8" i="7"/>
  <c r="B7" i="7"/>
  <c r="B6" i="7"/>
  <c r="B5" i="7"/>
  <c r="B4" i="7"/>
  <c r="D16" i="6"/>
  <c r="D18" i="6" s="1"/>
  <c r="D15" i="6"/>
  <c r="D14" i="6"/>
  <c r="C16" i="6"/>
  <c r="C18" i="6" s="1"/>
  <c r="C15" i="6"/>
  <c r="C17" i="6" s="1"/>
  <c r="C14" i="6"/>
  <c r="B16" i="6"/>
  <c r="B15" i="6"/>
  <c r="B14" i="6"/>
  <c r="B18" i="6"/>
  <c r="B10" i="6"/>
  <c r="B9" i="6"/>
  <c r="B8" i="6"/>
  <c r="D7" i="6"/>
  <c r="C7" i="6"/>
  <c r="B7" i="6"/>
  <c r="D6" i="6"/>
  <c r="C6" i="6"/>
  <c r="B6" i="6"/>
  <c r="D5" i="6"/>
  <c r="C5" i="6"/>
  <c r="B5" i="6"/>
  <c r="D4" i="6"/>
  <c r="C4" i="6"/>
  <c r="B4" i="6"/>
  <c r="D4" i="5"/>
  <c r="C4" i="5"/>
  <c r="B4" i="5"/>
  <c r="D12" i="5"/>
  <c r="C12" i="5"/>
  <c r="B12" i="5"/>
  <c r="D11" i="5"/>
  <c r="C11" i="5"/>
  <c r="B11" i="5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C5" i="5"/>
  <c r="D5" i="5"/>
  <c r="B5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G3" i="4"/>
  <c r="I2" i="4"/>
  <c r="H2" i="4"/>
  <c r="F2" i="4"/>
  <c r="E2" i="4"/>
  <c r="R140" i="11"/>
  <c r="R141" i="11"/>
  <c r="R142" i="11"/>
  <c r="R143" i="11"/>
  <c r="R144" i="11"/>
  <c r="R145" i="11"/>
  <c r="R146" i="11"/>
  <c r="R147" i="11"/>
  <c r="R121" i="11"/>
  <c r="R122" i="11"/>
  <c r="R123" i="11"/>
  <c r="R124" i="11"/>
  <c r="R125" i="11"/>
  <c r="R97" i="11"/>
  <c r="R98" i="11"/>
  <c r="R99" i="11"/>
  <c r="R96" i="11"/>
  <c r="Q148" i="11"/>
  <c r="Q149" i="11"/>
  <c r="Q150" i="11"/>
  <c r="Q151" i="11"/>
  <c r="Q152" i="11"/>
  <c r="Q120" i="11"/>
  <c r="Q121" i="11"/>
  <c r="Q122" i="11"/>
  <c r="Q123" i="11"/>
  <c r="Q124" i="11"/>
  <c r="Q125" i="11"/>
  <c r="Q126" i="11"/>
  <c r="Q127" i="11"/>
  <c r="Q97" i="11"/>
  <c r="Q98" i="11"/>
  <c r="Q99" i="11"/>
  <c r="Q100" i="11"/>
  <c r="Q101" i="11"/>
  <c r="Q102" i="11"/>
  <c r="Q103" i="11"/>
  <c r="Q104" i="11"/>
  <c r="Q96" i="11"/>
  <c r="H90" i="11"/>
  <c r="H91" i="11"/>
  <c r="H92" i="11"/>
  <c r="H93" i="11"/>
  <c r="H73" i="11"/>
  <c r="H74" i="11"/>
  <c r="H75" i="11"/>
  <c r="H76" i="11"/>
  <c r="H77" i="11"/>
  <c r="H78" i="11"/>
  <c r="H56" i="11"/>
  <c r="H57" i="11"/>
  <c r="H58" i="11"/>
  <c r="H59" i="11"/>
  <c r="H60" i="11"/>
  <c r="H61" i="11"/>
  <c r="H62" i="11"/>
  <c r="H63" i="11"/>
  <c r="H55" i="11"/>
  <c r="G56" i="11"/>
  <c r="G57" i="11"/>
  <c r="G58" i="11"/>
  <c r="G59" i="11"/>
  <c r="G60" i="11"/>
  <c r="G61" i="11"/>
  <c r="G62" i="11"/>
  <c r="G63" i="11"/>
  <c r="G55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 s="1"/>
  <c r="H64" i="11"/>
  <c r="H65" i="11"/>
  <c r="H66" i="11"/>
  <c r="H67" i="11" s="1"/>
  <c r="H68" i="11"/>
  <c r="H69" i="11"/>
  <c r="H70" i="11"/>
  <c r="H71" i="11"/>
  <c r="H72" i="11"/>
  <c r="H79" i="11"/>
  <c r="H80" i="11"/>
  <c r="H81" i="11"/>
  <c r="H82" i="11"/>
  <c r="H83" i="11"/>
  <c r="H84" i="11"/>
  <c r="H85" i="11"/>
  <c r="H86" i="11"/>
  <c r="H87" i="11"/>
  <c r="H88" i="11" s="1"/>
  <c r="H89" i="11"/>
  <c r="H94" i="11"/>
  <c r="H95" i="11" s="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 s="1"/>
  <c r="Q153" i="11"/>
  <c r="Q154" i="11"/>
  <c r="Q155" i="11"/>
  <c r="Q156" i="11"/>
  <c r="Q157" i="11"/>
  <c r="Q158" i="11" s="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 s="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8" i="11"/>
  <c r="R149" i="11"/>
  <c r="R150" i="11"/>
  <c r="R151" i="11"/>
  <c r="R152" i="11"/>
  <c r="R153" i="11"/>
  <c r="R154" i="11"/>
  <c r="R155" i="11"/>
  <c r="R156" i="11" s="1"/>
  <c r="R157" i="11"/>
  <c r="R158" i="11" s="1"/>
  <c r="P96" i="11" l="1"/>
  <c r="P97" i="11" s="1"/>
  <c r="P98" i="11" s="1"/>
  <c r="P99" i="11" s="1"/>
  <c r="P100" i="11" s="1"/>
  <c r="P101" i="11" s="1"/>
  <c r="P102" i="11" s="1"/>
  <c r="P103" i="11" s="1"/>
  <c r="P104" i="11" s="1"/>
  <c r="P105" i="11" s="1"/>
  <c r="P106" i="11" s="1"/>
  <c r="P107" i="11" s="1"/>
  <c r="P108" i="11" s="1"/>
  <c r="P109" i="11" s="1"/>
  <c r="P110" i="11" s="1"/>
  <c r="P111" i="11" s="1"/>
  <c r="P112" i="11" s="1"/>
  <c r="P113" i="11" s="1"/>
  <c r="P114" i="11" s="1"/>
  <c r="P115" i="11" s="1"/>
  <c r="P116" i="11" s="1"/>
  <c r="P117" i="11" s="1"/>
  <c r="P118" i="11" s="1"/>
  <c r="P119" i="11" s="1"/>
  <c r="P120" i="11" s="1"/>
  <c r="P121" i="11" s="1"/>
  <c r="P122" i="11" s="1"/>
  <c r="P123" i="11" s="1"/>
  <c r="P124" i="11" s="1"/>
  <c r="P125" i="11" s="1"/>
  <c r="P126" i="11" s="1"/>
  <c r="P127" i="11" s="1"/>
  <c r="P128" i="11" s="1"/>
  <c r="P129" i="11" s="1"/>
  <c r="P130" i="11" s="1"/>
  <c r="P131" i="11" s="1"/>
  <c r="P132" i="11" s="1"/>
  <c r="P133" i="11" s="1"/>
  <c r="P134" i="11" s="1"/>
  <c r="P135" i="11" s="1"/>
  <c r="P136" i="11" s="1"/>
  <c r="P137" i="11" s="1"/>
  <c r="P138" i="11" s="1"/>
  <c r="P139" i="11" s="1"/>
  <c r="P140" i="11" s="1"/>
  <c r="P141" i="11" s="1"/>
  <c r="P142" i="11" s="1"/>
  <c r="P143" i="11" s="1"/>
  <c r="P144" i="11" s="1"/>
  <c r="P145" i="11" s="1"/>
  <c r="P146" i="11" s="1"/>
  <c r="P147" i="11" s="1"/>
  <c r="P148" i="11" s="1"/>
  <c r="P149" i="11" s="1"/>
  <c r="P150" i="11" s="1"/>
  <c r="P151" i="11" s="1"/>
  <c r="P152" i="11" s="1"/>
  <c r="P153" i="11" s="1"/>
  <c r="P154" i="11" s="1"/>
  <c r="P155" i="11" s="1"/>
  <c r="P156" i="11" s="1"/>
  <c r="P157" i="11" s="1"/>
  <c r="P158" i="11" s="1"/>
  <c r="O96" i="11"/>
  <c r="D17" i="6"/>
  <c r="B17" i="6"/>
  <c r="O97" i="11" l="1"/>
  <c r="N96" i="11"/>
  <c r="O98" i="11" l="1"/>
  <c r="N97" i="11"/>
  <c r="O99" i="11" l="1"/>
  <c r="N98" i="11"/>
  <c r="N99" i="11" l="1"/>
  <c r="O100" i="11"/>
  <c r="N100" i="11" l="1"/>
  <c r="O101" i="11"/>
  <c r="O102" i="11" l="1"/>
  <c r="N101" i="11"/>
  <c r="N102" i="11" l="1"/>
  <c r="O103" i="11"/>
  <c r="N103" i="11" l="1"/>
  <c r="O104" i="11"/>
  <c r="O105" i="11" l="1"/>
  <c r="N104" i="11"/>
  <c r="O106" i="11" l="1"/>
  <c r="N105" i="11"/>
  <c r="O107" i="11" l="1"/>
  <c r="N106" i="11"/>
  <c r="N107" i="11" l="1"/>
  <c r="O108" i="11"/>
  <c r="N108" i="11" l="1"/>
  <c r="O109" i="11"/>
  <c r="N109" i="11" l="1"/>
  <c r="O110" i="11"/>
  <c r="O111" i="11" l="1"/>
  <c r="N110" i="11"/>
  <c r="N111" i="11" l="1"/>
  <c r="O112" i="11"/>
  <c r="O113" i="11" l="1"/>
  <c r="N112" i="11"/>
  <c r="O114" i="11" l="1"/>
  <c r="N113" i="11"/>
  <c r="N114" i="11" l="1"/>
  <c r="O115" i="11"/>
  <c r="N115" i="11" l="1"/>
  <c r="O116" i="11"/>
  <c r="O117" i="11" l="1"/>
  <c r="N116" i="11"/>
  <c r="N117" i="11" l="1"/>
  <c r="O118" i="11"/>
  <c r="N118" i="11" l="1"/>
  <c r="O119" i="11"/>
  <c r="O120" i="11" l="1"/>
  <c r="N119" i="11"/>
  <c r="N120" i="11" l="1"/>
  <c r="O121" i="11"/>
  <c r="O122" i="11" l="1"/>
  <c r="N121" i="11"/>
  <c r="N122" i="11" l="1"/>
  <c r="O123" i="11"/>
  <c r="O124" i="11" l="1"/>
  <c r="N123" i="11"/>
  <c r="N124" i="11" l="1"/>
  <c r="O125" i="11"/>
  <c r="N125" i="11" l="1"/>
  <c r="O126" i="11"/>
  <c r="O127" i="11" l="1"/>
  <c r="N126" i="11"/>
  <c r="O128" i="11" l="1"/>
  <c r="N127" i="11"/>
  <c r="O129" i="11" l="1"/>
  <c r="N128" i="11"/>
  <c r="O130" i="11" l="1"/>
  <c r="N129" i="11"/>
  <c r="O131" i="11" l="1"/>
  <c r="N130" i="11"/>
  <c r="N131" i="11" l="1"/>
  <c r="O132" i="11"/>
  <c r="N132" i="11" l="1"/>
  <c r="O133" i="11"/>
  <c r="N133" i="11" l="1"/>
  <c r="O134" i="11"/>
  <c r="N134" i="11" l="1"/>
  <c r="O135" i="11"/>
  <c r="O136" i="11" l="1"/>
  <c r="N135" i="11"/>
  <c r="N136" i="11" l="1"/>
  <c r="O137" i="11"/>
  <c r="N137" i="11" l="1"/>
  <c r="O138" i="11"/>
  <c r="N138" i="11" l="1"/>
  <c r="O139" i="11"/>
  <c r="O140" i="11" l="1"/>
  <c r="N139" i="11"/>
  <c r="O141" i="11" l="1"/>
  <c r="N140" i="11"/>
  <c r="N141" i="11" l="1"/>
  <c r="O142" i="11"/>
  <c r="O143" i="11" l="1"/>
  <c r="N142" i="11"/>
  <c r="O144" i="11" l="1"/>
  <c r="N143" i="11"/>
  <c r="O145" i="11" l="1"/>
  <c r="N144" i="11"/>
  <c r="O146" i="11" l="1"/>
  <c r="N145" i="11"/>
  <c r="N146" i="11" l="1"/>
  <c r="O147" i="11"/>
  <c r="N147" i="11" l="1"/>
  <c r="O148" i="11"/>
  <c r="O149" i="11" l="1"/>
  <c r="N148" i="11"/>
  <c r="N149" i="11" l="1"/>
  <c r="O150" i="11"/>
  <c r="O151" i="11" l="1"/>
  <c r="N150" i="11"/>
  <c r="O152" i="11" l="1"/>
  <c r="N151" i="11"/>
  <c r="O153" i="11" l="1"/>
  <c r="N152" i="11"/>
  <c r="O154" i="11" l="1"/>
  <c r="N153" i="11"/>
  <c r="N154" i="11" l="1"/>
  <c r="O155" i="11"/>
  <c r="N155" i="11" l="1"/>
  <c r="O156" i="11"/>
  <c r="N156" i="11" l="1"/>
  <c r="O157" i="11"/>
  <c r="N157" i="11" l="1"/>
  <c r="O158" i="11"/>
  <c r="N158" i="11" s="1"/>
</calcChain>
</file>

<file path=xl/sharedStrings.xml><?xml version="1.0" encoding="utf-8"?>
<sst xmlns="http://schemas.openxmlformats.org/spreadsheetml/2006/main" count="228" uniqueCount="176">
  <si>
    <t>Tarih</t>
  </si>
  <si>
    <t>28-06-2024</t>
  </si>
  <si>
    <t>05-07-2024</t>
  </si>
  <si>
    <t>12-07-2024</t>
  </si>
  <si>
    <t>19-07-2024</t>
  </si>
  <si>
    <t>26-07-2024</t>
  </si>
  <si>
    <t>02-08-2024</t>
  </si>
  <si>
    <t>09-08-2024</t>
  </si>
  <si>
    <t>16-08-2024</t>
  </si>
  <si>
    <t>23-08-2024</t>
  </si>
  <si>
    <t>30-08-2024</t>
  </si>
  <si>
    <t>06-09-2024</t>
  </si>
  <si>
    <t>13-09-2024</t>
  </si>
  <si>
    <t>20-09-2024</t>
  </si>
  <si>
    <t>27-09-2024</t>
  </si>
  <si>
    <t>04-10-2024</t>
  </si>
  <si>
    <t>11-10-2024</t>
  </si>
  <si>
    <t>18-10-2024</t>
  </si>
  <si>
    <t>25-10-2024</t>
  </si>
  <si>
    <t>01-11-2024</t>
  </si>
  <si>
    <t>08-11-2024</t>
  </si>
  <si>
    <t>15-11-2024</t>
  </si>
  <si>
    <t>22-11-2024</t>
  </si>
  <si>
    <t>29-11-2024</t>
  </si>
  <si>
    <t>06-12-2024</t>
  </si>
  <si>
    <t>13-12-2024</t>
  </si>
  <si>
    <t>20-12-2024</t>
  </si>
  <si>
    <t>27-12-2024</t>
  </si>
  <si>
    <t>03-01-2025</t>
  </si>
  <si>
    <t>10-01-2025</t>
  </si>
  <si>
    <t>17-01-2025</t>
  </si>
  <si>
    <t>24-01-2025</t>
  </si>
  <si>
    <t>31-01-2025</t>
  </si>
  <si>
    <t>07-02-2025</t>
  </si>
  <si>
    <t>14-02-2025</t>
  </si>
  <si>
    <t>21-02-2025</t>
  </si>
  <si>
    <t>28-02-2025</t>
  </si>
  <si>
    <t>07-03-2025</t>
  </si>
  <si>
    <t>14-03-2025</t>
  </si>
  <si>
    <t>21-03-2025</t>
  </si>
  <si>
    <t>28-03-2025</t>
  </si>
  <si>
    <t>04-04-2025</t>
  </si>
  <si>
    <t>11-04-2025</t>
  </si>
  <si>
    <t>18-04-2025</t>
  </si>
  <si>
    <t>25-04-2025</t>
  </si>
  <si>
    <t>02-05-2025</t>
  </si>
  <si>
    <t>09-05-2025</t>
  </si>
  <si>
    <t>16-05-2025</t>
  </si>
  <si>
    <t>23-05-2025</t>
  </si>
  <si>
    <t>30-05-2025</t>
  </si>
  <si>
    <t>06-06-2025</t>
  </si>
  <si>
    <t>13-06-2025</t>
  </si>
  <si>
    <t>20-06-2025</t>
  </si>
  <si>
    <t>27-06-2025</t>
  </si>
  <si>
    <t>04-07-2025</t>
  </si>
  <si>
    <t>11-07-2025</t>
  </si>
  <si>
    <t>18-07-2025</t>
  </si>
  <si>
    <t>25-07-2025</t>
  </si>
  <si>
    <t>01-08-2025</t>
  </si>
  <si>
    <t>08-08-2025</t>
  </si>
  <si>
    <t>15-08-2025</t>
  </si>
  <si>
    <t>22-08-2025</t>
  </si>
  <si>
    <t>29-08-2025</t>
  </si>
  <si>
    <t>05-09-2025</t>
  </si>
  <si>
    <t>12-09-2025</t>
  </si>
  <si>
    <t>19-09-2025</t>
  </si>
  <si>
    <t>26-09-2025</t>
  </si>
  <si>
    <t>03-10-2025</t>
  </si>
  <si>
    <t>10-10-2025</t>
  </si>
  <si>
    <t>17-10-2025</t>
  </si>
  <si>
    <t>24-10-2025</t>
  </si>
  <si>
    <t>31-10-2025</t>
  </si>
  <si>
    <t>07-11-2025</t>
  </si>
  <si>
    <t>14-11-2025</t>
  </si>
  <si>
    <t>21-11-2025</t>
  </si>
  <si>
    <t>28-11-2025</t>
  </si>
  <si>
    <t>05-12-2025</t>
  </si>
  <si>
    <t>12-12-2025</t>
  </si>
  <si>
    <t>19-12-2025</t>
  </si>
  <si>
    <t>26-12-2025</t>
  </si>
  <si>
    <t>02-01-2026</t>
  </si>
  <si>
    <t>09-01-2026</t>
  </si>
  <si>
    <t>16-01-2026</t>
  </si>
  <si>
    <t>23-01-2026</t>
  </si>
  <si>
    <t>30-01-2026</t>
  </si>
  <si>
    <t>06-02-2026</t>
  </si>
  <si>
    <t>13-02-2026</t>
  </si>
  <si>
    <t>20-02-2026</t>
  </si>
  <si>
    <t>27-02-2026</t>
  </si>
  <si>
    <t>06-03-2026</t>
  </si>
  <si>
    <t>13-03-2026</t>
  </si>
  <si>
    <t>20-03-2026</t>
  </si>
  <si>
    <t>27-03-2026</t>
  </si>
  <si>
    <t>03-04-2026</t>
  </si>
  <si>
    <t>10-04-2026</t>
  </si>
  <si>
    <t>TL</t>
  </si>
  <si>
    <t>YP</t>
  </si>
  <si>
    <t>Toplam</t>
  </si>
  <si>
    <t>Haftalık Değişim (%)</t>
  </si>
  <si>
    <t>YP Payı (%)</t>
  </si>
  <si>
    <t>Yıl</t>
  </si>
  <si>
    <t>Ay</t>
  </si>
  <si>
    <t>TL Payı (%)</t>
  </si>
  <si>
    <t>Finansman Şirketleri - Genel İstatistikler (Milyon TL)</t>
  </si>
  <si>
    <t>İstatistik</t>
  </si>
  <si>
    <t>Gözlem Sayısı</t>
  </si>
  <si>
    <t>Minimum</t>
  </si>
  <si>
    <t>Maksimum</t>
  </si>
  <si>
    <t>Ortalama</t>
  </si>
  <si>
    <t>Medyan</t>
  </si>
  <si>
    <t>Std. Sapma</t>
  </si>
  <si>
    <t>Dönem Başı</t>
  </si>
  <si>
    <t>Dönem Sonu</t>
  </si>
  <si>
    <t>Toplam Değişim (%)</t>
  </si>
  <si>
    <t>Finansman Şirketleri - Büyüme Analizi</t>
  </si>
  <si>
    <t>Dönem</t>
  </si>
  <si>
    <t>Dönem Başı (Haz 2024)</t>
  </si>
  <si>
    <t>Dönem Sonu (Nis 2026)</t>
  </si>
  <si>
    <t>Mutlak Değişim</t>
  </si>
  <si>
    <t>Haftalık Ortalama Büyüme (%)</t>
  </si>
  <si>
    <t>En Yüksek Haftalık Artış (%)</t>
  </si>
  <si>
    <t>En Yüksek Haftalık Düşüş (%)</t>
  </si>
  <si>
    <t>Yıllık Değişim 2024 -&gt; 2025 (%)</t>
  </si>
  <si>
    <t>Yıllık Değişim 2025 -&gt; 2026 (%)</t>
  </si>
  <si>
    <t>Ort. Toplam</t>
  </si>
  <si>
    <t>Ort. TL</t>
  </si>
  <si>
    <t>Ort. YP</t>
  </si>
  <si>
    <t>Finansman Şirketleri - Mevsimsellik Analizi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</si>
  <si>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</si>
  <si>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</si>
  <si>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</si>
  <si>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</si>
  <si>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</si>
  <si>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</si>
  <si>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</si>
  <si>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</si>
  <si>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</si>
  <si>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</si>
  <si>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</si>
  <si>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</si>
  <si>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Mevsimsel Endeks</t>
  </si>
  <si>
    <t>Finansman Şirketleri - Korelasyon &amp; TL/YP Ayrışma Analizi</t>
  </si>
  <si>
    <t>Korelasyon</t>
  </si>
  <si>
    <t>Değişim Puan</t>
  </si>
  <si>
    <t>Ort. TL Payı (%)</t>
  </si>
  <si>
    <t>Ort. YP Payı (%)</t>
  </si>
  <si>
    <t>YP/TL Oranı</t>
  </si>
  <si>
    <t>Finansman Şirketleri Ticari Kredi Analizi – Yönetici Özeti</t>
  </si>
  <si>
    <t>Analiz Dönemi: Haziran 2024 – Nisan 2026 | Birim: Milyon TL | Kaynak: TCMB - BDDK</t>
  </si>
  <si>
    <t>GENEL GÖRÜNÜM</t>
  </si>
  <si>
    <t>Dönem Başı Toplam Kredi</t>
  </si>
  <si>
    <t>Dönem Sonu Toplam Kredi</t>
  </si>
  <si>
    <t>Toplam Büyüme (%)</t>
  </si>
  <si>
    <t>Haftalık Ort. Büyüme (%)</t>
  </si>
  <si>
    <t>Dönem Ortalaması</t>
  </si>
  <si>
    <t>TL / YP YAPISI</t>
  </si>
  <si>
    <t>Dönem Başı Payı (%)</t>
  </si>
  <si>
    <t>Dönem Sonu Payı (%)</t>
  </si>
  <si>
    <t>Ortalama Pay (%)</t>
  </si>
  <si>
    <t>Pay Değişimi (Puan)</t>
  </si>
  <si>
    <t>TL-YP Korelasyonu</t>
  </si>
  <si>
    <t>MEVSİMSELLİK</t>
  </si>
  <si>
    <t>En Yüksek Sezon (Ay)</t>
  </si>
  <si>
    <t>En Düşük Sezon (Ay)</t>
  </si>
  <si>
    <t>En Yüksek Endeks</t>
  </si>
  <si>
    <t>En Düşük Endeks</t>
  </si>
  <si>
    <t>12 AYLIK TAHMİN</t>
  </si>
  <si>
    <t>Model</t>
  </si>
  <si>
    <t>Nisan 2027 Tahmini</t>
  </si>
  <si>
    <t>Alt Sınır (%80)</t>
  </si>
  <si>
    <t>Üst Sınır (%80)</t>
  </si>
  <si>
    <t>Beklenen Büyüme (%)</t>
  </si>
  <si>
    <t>TL Fark</t>
  </si>
  <si>
    <t>YP Park</t>
  </si>
  <si>
    <t>YP Fark</t>
  </si>
  <si>
    <t>Tahmin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</si>
</sst>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Toplam Ticari Kredi Büyümesi (Milyon TL)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Ham Veri'!$B$1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 Ham Veri'!$A$2:$A$95</c:f>
              <c:strCache>
                <c:ptCount val="94"/>
                <c:pt idx="0">
                  <c:v>28-06-2024</c:v>
                </c:pt>
                <c:pt idx="1">
                  <c:v>05-07-2024</c:v>
                </c:pt>
                <c:pt idx="2">
                  <c:v>12-07-2024</c:v>
                </c:pt>
                <c:pt idx="3">
                  <c:v>19-07-2024</c:v>
                </c:pt>
                <c:pt idx="4">
                  <c:v>26-07-2024</c:v>
                </c:pt>
                <c:pt idx="5">
                  <c:v>02-08-2024</c:v>
                </c:pt>
                <c:pt idx="6">
                  <c:v>09-08-2024</c:v>
                </c:pt>
                <c:pt idx="7">
                  <c:v>16-08-2024</c:v>
                </c:pt>
                <c:pt idx="8">
                  <c:v>23-08-2024</c:v>
                </c:pt>
                <c:pt idx="9">
                  <c:v>30-08-2024</c:v>
                </c:pt>
                <c:pt idx="10">
                  <c:v>06-09-2024</c:v>
                </c:pt>
                <c:pt idx="11">
                  <c:v>13-09-2024</c:v>
                </c:pt>
                <c:pt idx="12">
                  <c:v>20-09-2024</c:v>
                </c:pt>
                <c:pt idx="13">
                  <c:v>27-09-2024</c:v>
                </c:pt>
                <c:pt idx="14">
                  <c:v>04-10-2024</c:v>
                </c:pt>
                <c:pt idx="15">
                  <c:v>11-10-2024</c:v>
                </c:pt>
                <c:pt idx="16">
                  <c:v>18-10-2024</c:v>
                </c:pt>
                <c:pt idx="17">
                  <c:v>25-10-2024</c:v>
                </c:pt>
                <c:pt idx="18">
                  <c:v>01-11-2024</c:v>
                </c:pt>
                <c:pt idx="19">
                  <c:v>08-11-2024</c:v>
                </c:pt>
                <c:pt idx="20">
                  <c:v>15-11-2024</c:v>
                </c:pt>
                <c:pt idx="21">
                  <c:v>22-11-2024</c:v>
                </c:pt>
                <c:pt idx="22">
                  <c:v>29-11-2024</c:v>
                </c:pt>
                <c:pt idx="23">
                  <c:v>06-12-2024</c:v>
                </c:pt>
                <c:pt idx="24">
                  <c:v>13-12-2024</c:v>
                </c:pt>
                <c:pt idx="25">
                  <c:v>20-12-2024</c:v>
                </c:pt>
                <c:pt idx="26">
                  <c:v>27-12-2024</c:v>
                </c:pt>
                <c:pt idx="27">
                  <c:v>03-01-2025</c:v>
                </c:pt>
                <c:pt idx="28">
                  <c:v>10-01-2025</c:v>
                </c:pt>
                <c:pt idx="29">
                  <c:v>17-01-2025</c:v>
                </c:pt>
                <c:pt idx="30">
                  <c:v>24-01-2025</c:v>
                </c:pt>
                <c:pt idx="31">
                  <c:v>31-01-2025</c:v>
                </c:pt>
                <c:pt idx="32">
                  <c:v>07-02-2025</c:v>
                </c:pt>
                <c:pt idx="33">
                  <c:v>14-02-2025</c:v>
                </c:pt>
                <c:pt idx="34">
                  <c:v>21-02-2025</c:v>
                </c:pt>
                <c:pt idx="35">
                  <c:v>28-02-2025</c:v>
                </c:pt>
                <c:pt idx="36">
                  <c:v>07-03-2025</c:v>
                </c:pt>
                <c:pt idx="37">
                  <c:v>14-03-2025</c:v>
                </c:pt>
                <c:pt idx="38">
                  <c:v>21-03-2025</c:v>
                </c:pt>
                <c:pt idx="39">
                  <c:v>28-03-2025</c:v>
                </c:pt>
                <c:pt idx="40">
                  <c:v>04-04-2025</c:v>
                </c:pt>
                <c:pt idx="41">
                  <c:v>11-04-2025</c:v>
                </c:pt>
                <c:pt idx="42">
                  <c:v>18-04-2025</c:v>
                </c:pt>
                <c:pt idx="43">
                  <c:v>25-04-2025</c:v>
                </c:pt>
                <c:pt idx="44">
                  <c:v>02-05-2025</c:v>
                </c:pt>
                <c:pt idx="45">
                  <c:v>09-05-2025</c:v>
                </c:pt>
                <c:pt idx="46">
                  <c:v>16-05-2025</c:v>
                </c:pt>
                <c:pt idx="47">
                  <c:v>23-05-2025</c:v>
                </c:pt>
                <c:pt idx="48">
                  <c:v>30-05-2025</c:v>
                </c:pt>
                <c:pt idx="49">
                  <c:v>06-06-2025</c:v>
                </c:pt>
                <c:pt idx="50">
                  <c:v>13-06-2025</c:v>
                </c:pt>
                <c:pt idx="51">
                  <c:v>20-06-2025</c:v>
                </c:pt>
                <c:pt idx="52">
                  <c:v>27-06-2025</c:v>
                </c:pt>
                <c:pt idx="53">
                  <c:v>04-07-2025</c:v>
                </c:pt>
                <c:pt idx="54">
                  <c:v>11-07-2025</c:v>
                </c:pt>
                <c:pt idx="55">
                  <c:v>18-07-2025</c:v>
                </c:pt>
                <c:pt idx="56">
                  <c:v>25-07-2025</c:v>
                </c:pt>
                <c:pt idx="57">
                  <c:v>01-08-2025</c:v>
                </c:pt>
                <c:pt idx="58">
                  <c:v>08-08-2025</c:v>
                </c:pt>
                <c:pt idx="59">
                  <c:v>15-08-2025</c:v>
                </c:pt>
                <c:pt idx="60">
                  <c:v>22-08-2025</c:v>
                </c:pt>
                <c:pt idx="61">
                  <c:v>29-08-2025</c:v>
                </c:pt>
                <c:pt idx="62">
                  <c:v>05-09-2025</c:v>
                </c:pt>
                <c:pt idx="63">
                  <c:v>12-09-2025</c:v>
                </c:pt>
                <c:pt idx="64">
                  <c:v>19-09-2025</c:v>
                </c:pt>
                <c:pt idx="65">
                  <c:v>26-09-2025</c:v>
                </c:pt>
                <c:pt idx="66">
                  <c:v>03-10-2025</c:v>
                </c:pt>
                <c:pt idx="67">
                  <c:v>10-10-2025</c:v>
                </c:pt>
                <c:pt idx="68">
                  <c:v>17-10-2025</c:v>
                </c:pt>
                <c:pt idx="69">
                  <c:v>24-10-2025</c:v>
                </c:pt>
                <c:pt idx="70">
                  <c:v>31-10-2025</c:v>
                </c:pt>
                <c:pt idx="71">
                  <c:v>07-11-2025</c:v>
                </c:pt>
                <c:pt idx="72">
                  <c:v>14-11-2025</c:v>
                </c:pt>
                <c:pt idx="73">
                  <c:v>21-11-2025</c:v>
                </c:pt>
                <c:pt idx="74">
                  <c:v>28-11-2025</c:v>
                </c:pt>
                <c:pt idx="75">
                  <c:v>05-12-2025</c:v>
                </c:pt>
                <c:pt idx="76">
                  <c:v>12-12-2025</c:v>
                </c:pt>
                <c:pt idx="77">
                  <c:v>19-12-2025</c:v>
                </c:pt>
                <c:pt idx="78">
                  <c:v>26-12-2025</c:v>
                </c:pt>
                <c:pt idx="79">
                  <c:v>02-01-2026</c:v>
                </c:pt>
                <c:pt idx="80">
                  <c:v>09-01-2026</c:v>
                </c:pt>
                <c:pt idx="81">
                  <c:v>16-01-2026</c:v>
                </c:pt>
                <c:pt idx="82">
                  <c:v>23-01-2026</c:v>
                </c:pt>
                <c:pt idx="83">
                  <c:v>30-01-2026</c:v>
                </c:pt>
                <c:pt idx="84">
                  <c:v>06-02-2026</c:v>
                </c:pt>
                <c:pt idx="85">
                  <c:v>13-02-2026</c:v>
                </c:pt>
                <c:pt idx="86">
                  <c:v>20-02-2026</c:v>
                </c:pt>
                <c:pt idx="87">
                  <c:v>27-02-2026</c:v>
                </c:pt>
                <c:pt idx="88">
                  <c:v>06-03-2026</c:v>
                </c:pt>
                <c:pt idx="89">
                  <c:v>13-03-2026</c:v>
                </c:pt>
                <c:pt idx="90">
                  <c:v>20-03-2026</c:v>
                </c:pt>
                <c:pt idx="91">
                  <c:v>27-03-2026</c:v>
                </c:pt>
                <c:pt idx="92">
                  <c:v>03-04-2026</c:v>
                </c:pt>
                <c:pt idx="93">
                  <c:v>10-04-2026</c:v>
                </c:pt>
              </c:strCache>
            </c:strRef>
          </c:cat>
          <c:val>
            <c:numRef>
              <c:f>'1. Ham Veri'!$B$2:$B$95</c:f>
              <c:numCache>
                <c:formatCode>#,##0.00</c:formatCode>
                <c:ptCount val="94"/>
                <c:pt idx="0">
                  <c:v>117010.90300000001</c:v>
                </c:pt>
                <c:pt idx="1">
                  <c:v>114932.29300000001</c:v>
                </c:pt>
                <c:pt idx="2">
                  <c:v>115625.71</c:v>
                </c:pt>
                <c:pt idx="3">
                  <c:v>116662.355</c:v>
                </c:pt>
                <c:pt idx="4">
                  <c:v>119109.58500000001</c:v>
                </c:pt>
                <c:pt idx="5">
                  <c:v>120109.58500000001</c:v>
                </c:pt>
                <c:pt idx="6">
                  <c:v>120407.133</c:v>
                </c:pt>
                <c:pt idx="7">
                  <c:v>120243.95699999999</c:v>
                </c:pt>
                <c:pt idx="8">
                  <c:v>121657.73699999999</c:v>
                </c:pt>
                <c:pt idx="9">
                  <c:v>125053.042</c:v>
                </c:pt>
                <c:pt idx="10">
                  <c:v>123406.049</c:v>
                </c:pt>
                <c:pt idx="11">
                  <c:v>123318.524</c:v>
                </c:pt>
                <c:pt idx="12">
                  <c:v>124025.603</c:v>
                </c:pt>
                <c:pt idx="13">
                  <c:v>126552.784</c:v>
                </c:pt>
                <c:pt idx="14">
                  <c:v>127549.504</c:v>
                </c:pt>
                <c:pt idx="15">
                  <c:v>128148.689</c:v>
                </c:pt>
                <c:pt idx="16">
                  <c:v>128475.054</c:v>
                </c:pt>
                <c:pt idx="17">
                  <c:v>129411.024</c:v>
                </c:pt>
                <c:pt idx="18">
                  <c:v>130886.51700000001</c:v>
                </c:pt>
                <c:pt idx="19">
                  <c:v>130500.863</c:v>
                </c:pt>
                <c:pt idx="20">
                  <c:v>132583.986</c:v>
                </c:pt>
                <c:pt idx="21">
                  <c:v>133275.522</c:v>
                </c:pt>
                <c:pt idx="22">
                  <c:v>138320.098</c:v>
                </c:pt>
                <c:pt idx="23">
                  <c:v>137569.337</c:v>
                </c:pt>
                <c:pt idx="24">
                  <c:v>139712.652</c:v>
                </c:pt>
                <c:pt idx="25">
                  <c:v>142016.27299999999</c:v>
                </c:pt>
                <c:pt idx="26">
                  <c:v>150390.14000000001</c:v>
                </c:pt>
                <c:pt idx="27">
                  <c:v>152815.70800000001</c:v>
                </c:pt>
                <c:pt idx="28">
                  <c:v>151867.85699999999</c:v>
                </c:pt>
                <c:pt idx="29">
                  <c:v>151894.568</c:v>
                </c:pt>
                <c:pt idx="30">
                  <c:v>151259.46599999999</c:v>
                </c:pt>
                <c:pt idx="31">
                  <c:v>151263.91399999999</c:v>
                </c:pt>
                <c:pt idx="32">
                  <c:v>150207.34400000001</c:v>
                </c:pt>
                <c:pt idx="33">
                  <c:v>151526.66399999999</c:v>
                </c:pt>
                <c:pt idx="34">
                  <c:v>152072.75399999999</c:v>
                </c:pt>
                <c:pt idx="35">
                  <c:v>155136.22399999999</c:v>
                </c:pt>
                <c:pt idx="36">
                  <c:v>155173.47099999999</c:v>
                </c:pt>
                <c:pt idx="37">
                  <c:v>158983.82399999999</c:v>
                </c:pt>
                <c:pt idx="38">
                  <c:v>162157.43799999999</c:v>
                </c:pt>
                <c:pt idx="39">
                  <c:v>168853.239</c:v>
                </c:pt>
                <c:pt idx="40">
                  <c:v>166084.859</c:v>
                </c:pt>
                <c:pt idx="41">
                  <c:v>165677.144</c:v>
                </c:pt>
                <c:pt idx="42">
                  <c:v>170708.18100000001</c:v>
                </c:pt>
                <c:pt idx="43">
                  <c:v>173370.89</c:v>
                </c:pt>
                <c:pt idx="44">
                  <c:v>175896.79699999999</c:v>
                </c:pt>
                <c:pt idx="45">
                  <c:v>175107.53099999999</c:v>
                </c:pt>
                <c:pt idx="46">
                  <c:v>175846.416</c:v>
                </c:pt>
                <c:pt idx="47">
                  <c:v>177070.984</c:v>
                </c:pt>
                <c:pt idx="48">
                  <c:v>181582.372</c:v>
                </c:pt>
                <c:pt idx="49">
                  <c:v>181751.63800000001</c:v>
                </c:pt>
                <c:pt idx="50">
                  <c:v>182759.34</c:v>
                </c:pt>
                <c:pt idx="51">
                  <c:v>183306.625</c:v>
                </c:pt>
                <c:pt idx="52">
                  <c:v>187969.62400000001</c:v>
                </c:pt>
                <c:pt idx="53">
                  <c:v>193029.09</c:v>
                </c:pt>
                <c:pt idx="54">
                  <c:v>193187.671</c:v>
                </c:pt>
                <c:pt idx="55">
                  <c:v>192450.62100000001</c:v>
                </c:pt>
                <c:pt idx="56">
                  <c:v>192548.29699999999</c:v>
                </c:pt>
                <c:pt idx="57">
                  <c:v>196259.356</c:v>
                </c:pt>
                <c:pt idx="58">
                  <c:v>196486.32199999999</c:v>
                </c:pt>
                <c:pt idx="59">
                  <c:v>197524.31</c:v>
                </c:pt>
                <c:pt idx="60">
                  <c:v>196372.307</c:v>
                </c:pt>
                <c:pt idx="61">
                  <c:v>199983.14300000001</c:v>
                </c:pt>
                <c:pt idx="62">
                  <c:v>198410.08100000001</c:v>
                </c:pt>
                <c:pt idx="63">
                  <c:v>198778.49</c:v>
                </c:pt>
                <c:pt idx="64">
                  <c:v>202137.92600000001</c:v>
                </c:pt>
                <c:pt idx="65">
                  <c:v>205967.06400000001</c:v>
                </c:pt>
                <c:pt idx="66">
                  <c:v>211669.36799999999</c:v>
                </c:pt>
                <c:pt idx="67">
                  <c:v>212832.065</c:v>
                </c:pt>
                <c:pt idx="68">
                  <c:v>215237.74799999999</c:v>
                </c:pt>
                <c:pt idx="69">
                  <c:v>217691.68900000001</c:v>
                </c:pt>
                <c:pt idx="70">
                  <c:v>220839.12400000001</c:v>
                </c:pt>
                <c:pt idx="71">
                  <c:v>222738.00899999999</c:v>
                </c:pt>
                <c:pt idx="72">
                  <c:v>225971.94399999999</c:v>
                </c:pt>
                <c:pt idx="73">
                  <c:v>228469.427</c:v>
                </c:pt>
                <c:pt idx="74">
                  <c:v>240787.47899999999</c:v>
                </c:pt>
                <c:pt idx="75">
                  <c:v>242875.53</c:v>
                </c:pt>
                <c:pt idx="76">
                  <c:v>246590.80799999999</c:v>
                </c:pt>
                <c:pt idx="77">
                  <c:v>252455.73199999999</c:v>
                </c:pt>
                <c:pt idx="78">
                  <c:v>266258.93699999998</c:v>
                </c:pt>
                <c:pt idx="79">
                  <c:v>275148.32699999999</c:v>
                </c:pt>
                <c:pt idx="80">
                  <c:v>275327.82500000001</c:v>
                </c:pt>
                <c:pt idx="81">
                  <c:v>274327.55699999997</c:v>
                </c:pt>
                <c:pt idx="82">
                  <c:v>271160.065</c:v>
                </c:pt>
                <c:pt idx="83">
                  <c:v>273525.24</c:v>
                </c:pt>
                <c:pt idx="84">
                  <c:v>272319.16800000001</c:v>
                </c:pt>
                <c:pt idx="85">
                  <c:v>271884.76899999997</c:v>
                </c:pt>
                <c:pt idx="86">
                  <c:v>273105.46899999998</c:v>
                </c:pt>
                <c:pt idx="87">
                  <c:v>276634.73700000002</c:v>
                </c:pt>
                <c:pt idx="88">
                  <c:v>273458.408</c:v>
                </c:pt>
                <c:pt idx="89">
                  <c:v>274306.663</c:v>
                </c:pt>
                <c:pt idx="90">
                  <c:v>273717.86599999998</c:v>
                </c:pt>
                <c:pt idx="91">
                  <c:v>274572.234</c:v>
                </c:pt>
                <c:pt idx="92">
                  <c:v>279308.261</c:v>
                </c:pt>
                <c:pt idx="93">
                  <c:v>278734.33399999997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7-A94B-B26D-2589FC1F4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8269824"/>
        <c:axId val="377866432"/>
      </c:lineChart>
      <c:catAx>
        <c:axId val="47826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77866432"/>
        <c:crosses val="autoZero"/>
        <c:auto val="1"/>
        <c:lblAlgn val="ctr"/>
        <c:lblOffset val="100"/>
        <c:noMultiLvlLbl val="0"/>
      </c:catAx>
      <c:valAx>
        <c:axId val="37786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7826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Aylık Ortalama Kredi Büyüklüğü (Milyon TL)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 Mevsimsellik'!$B$3</c:f>
              <c:strCache>
                <c:ptCount val="1"/>
                <c:pt idx="0">
                  <c:v>Ort. 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 Mevsimsellik'!$A$4:$A$15</c:f>
              <c:strCache>
                <c:ptCount val="12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  <c:pt idx="6">
                  <c:v>Temmuz</c:v>
                </c:pt>
                <c:pt idx="7">
                  <c:v>Ağustos</c:v>
                </c:pt>
                <c:pt idx="8">
                  <c:v>Eylül</c:v>
                </c:pt>
                <c:pt idx="9">
                  <c:v>Ekim</c:v>
                </c:pt>
                <c:pt idx="10">
                  <c:v>Kasım</c:v>
                </c:pt>
                <c:pt idx="11">
                  <c:v>Aralık</c:v>
                </c:pt>
              </c:strCache>
            </c:strRef>
          </c:cat>
          <c:val>
            <c:numRef>
              <c:f>'4. Mevsimsellik'!$B$4:$B$15</c:f>
              <c:numCache>
                <c:formatCode>#,##0.00</c:formatCode>
                <c:ptCount val="12"/>
                <c:pt idx="0">
                  <c:v>212859.05269999997</c:v>
                </c:pt>
                <c:pt idx="1">
                  <c:v>212860.89112499999</c:v>
                </c:pt>
                <c:pt idx="2">
                  <c:v>217652.89287499999</c:v>
                </c:pt>
                <c:pt idx="3">
                  <c:v>205647.27816666666</c:v>
                </c:pt>
                <c:pt idx="4">
                  <c:v>177100.81999999998</c:v>
                </c:pt>
                <c:pt idx="5">
                  <c:v>170559.62600000002</c:v>
                </c:pt>
                <c:pt idx="6">
                  <c:v>154693.20275</c:v>
                </c:pt>
                <c:pt idx="7">
                  <c:v>159409.68919999999</c:v>
                </c:pt>
                <c:pt idx="8">
                  <c:v>162824.56512499999</c:v>
                </c:pt>
                <c:pt idx="9">
                  <c:v>176872.69611111109</c:v>
                </c:pt>
                <c:pt idx="10">
                  <c:v>175948.20499999999</c:v>
                </c:pt>
                <c:pt idx="11">
                  <c:v>197233.676125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A-CD49-AD18-7AC78B754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360320"/>
        <c:axId val="481360768"/>
      </c:barChart>
      <c:catAx>
        <c:axId val="48136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81360768"/>
        <c:crosses val="autoZero"/>
        <c:auto val="1"/>
        <c:lblAlgn val="ctr"/>
        <c:lblOffset val="100"/>
        <c:noMultiLvlLbl val="0"/>
      </c:catAx>
      <c:valAx>
        <c:axId val="48136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8136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TL ve YP</a:t>
            </a:r>
            <a:r>
              <a:rPr lang="en-US" baseline="0"/>
              <a:t> Kredi Payları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'1. Ham Veri'!$H$1</c:f>
              <c:strCache>
                <c:ptCount val="1"/>
                <c:pt idx="0">
                  <c:v>TL Payı (%)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'1. Ham Veri'!$A$2:$A$95</c:f>
              <c:strCache>
                <c:ptCount val="94"/>
                <c:pt idx="0">
                  <c:v>28-06-2024</c:v>
                </c:pt>
                <c:pt idx="1">
                  <c:v>05-07-2024</c:v>
                </c:pt>
                <c:pt idx="2">
                  <c:v>12-07-2024</c:v>
                </c:pt>
                <c:pt idx="3">
                  <c:v>19-07-2024</c:v>
                </c:pt>
                <c:pt idx="4">
                  <c:v>26-07-2024</c:v>
                </c:pt>
                <c:pt idx="5">
                  <c:v>02-08-2024</c:v>
                </c:pt>
                <c:pt idx="6">
                  <c:v>09-08-2024</c:v>
                </c:pt>
                <c:pt idx="7">
                  <c:v>16-08-2024</c:v>
                </c:pt>
                <c:pt idx="8">
                  <c:v>23-08-2024</c:v>
                </c:pt>
                <c:pt idx="9">
                  <c:v>30-08-2024</c:v>
                </c:pt>
                <c:pt idx="10">
                  <c:v>06-09-2024</c:v>
                </c:pt>
                <c:pt idx="11">
                  <c:v>13-09-2024</c:v>
                </c:pt>
                <c:pt idx="12">
                  <c:v>20-09-2024</c:v>
                </c:pt>
                <c:pt idx="13">
                  <c:v>27-09-2024</c:v>
                </c:pt>
                <c:pt idx="14">
                  <c:v>04-10-2024</c:v>
                </c:pt>
                <c:pt idx="15">
                  <c:v>11-10-2024</c:v>
                </c:pt>
                <c:pt idx="16">
                  <c:v>18-10-2024</c:v>
                </c:pt>
                <c:pt idx="17">
                  <c:v>25-10-2024</c:v>
                </c:pt>
                <c:pt idx="18">
                  <c:v>01-11-2024</c:v>
                </c:pt>
                <c:pt idx="19">
                  <c:v>08-11-2024</c:v>
                </c:pt>
                <c:pt idx="20">
                  <c:v>15-11-2024</c:v>
                </c:pt>
                <c:pt idx="21">
                  <c:v>22-11-2024</c:v>
                </c:pt>
                <c:pt idx="22">
                  <c:v>29-11-2024</c:v>
                </c:pt>
                <c:pt idx="23">
                  <c:v>06-12-2024</c:v>
                </c:pt>
                <c:pt idx="24">
                  <c:v>13-12-2024</c:v>
                </c:pt>
                <c:pt idx="25">
                  <c:v>20-12-2024</c:v>
                </c:pt>
                <c:pt idx="26">
                  <c:v>27-12-2024</c:v>
                </c:pt>
                <c:pt idx="27">
                  <c:v>03-01-2025</c:v>
                </c:pt>
                <c:pt idx="28">
                  <c:v>10-01-2025</c:v>
                </c:pt>
                <c:pt idx="29">
                  <c:v>17-01-2025</c:v>
                </c:pt>
                <c:pt idx="30">
                  <c:v>24-01-2025</c:v>
                </c:pt>
                <c:pt idx="31">
                  <c:v>31-01-2025</c:v>
                </c:pt>
                <c:pt idx="32">
                  <c:v>07-02-2025</c:v>
                </c:pt>
                <c:pt idx="33">
                  <c:v>14-02-2025</c:v>
                </c:pt>
                <c:pt idx="34">
                  <c:v>21-02-2025</c:v>
                </c:pt>
                <c:pt idx="35">
                  <c:v>28-02-2025</c:v>
                </c:pt>
                <c:pt idx="36">
                  <c:v>07-03-2025</c:v>
                </c:pt>
                <c:pt idx="37">
                  <c:v>14-03-2025</c:v>
                </c:pt>
                <c:pt idx="38">
                  <c:v>21-03-2025</c:v>
                </c:pt>
                <c:pt idx="39">
                  <c:v>28-03-2025</c:v>
                </c:pt>
                <c:pt idx="40">
                  <c:v>04-04-2025</c:v>
                </c:pt>
                <c:pt idx="41">
                  <c:v>11-04-2025</c:v>
                </c:pt>
                <c:pt idx="42">
                  <c:v>18-04-2025</c:v>
                </c:pt>
                <c:pt idx="43">
                  <c:v>25-04-2025</c:v>
                </c:pt>
                <c:pt idx="44">
                  <c:v>02-05-2025</c:v>
                </c:pt>
                <c:pt idx="45">
                  <c:v>09-05-2025</c:v>
                </c:pt>
                <c:pt idx="46">
                  <c:v>16-05-2025</c:v>
                </c:pt>
                <c:pt idx="47">
                  <c:v>23-05-2025</c:v>
                </c:pt>
                <c:pt idx="48">
                  <c:v>30-05-2025</c:v>
                </c:pt>
                <c:pt idx="49">
                  <c:v>06-06-2025</c:v>
                </c:pt>
                <c:pt idx="50">
                  <c:v>13-06-2025</c:v>
                </c:pt>
                <c:pt idx="51">
                  <c:v>20-06-2025</c:v>
                </c:pt>
                <c:pt idx="52">
                  <c:v>27-06-2025</c:v>
                </c:pt>
                <c:pt idx="53">
                  <c:v>04-07-2025</c:v>
                </c:pt>
                <c:pt idx="54">
                  <c:v>11-07-2025</c:v>
                </c:pt>
                <c:pt idx="55">
                  <c:v>18-07-2025</c:v>
                </c:pt>
                <c:pt idx="56">
                  <c:v>25-07-2025</c:v>
                </c:pt>
                <c:pt idx="57">
                  <c:v>01-08-2025</c:v>
                </c:pt>
                <c:pt idx="58">
                  <c:v>08-08-2025</c:v>
                </c:pt>
                <c:pt idx="59">
                  <c:v>15-08-2025</c:v>
                </c:pt>
                <c:pt idx="60">
                  <c:v>22-08-2025</c:v>
                </c:pt>
                <c:pt idx="61">
                  <c:v>29-08-2025</c:v>
                </c:pt>
                <c:pt idx="62">
                  <c:v>05-09-2025</c:v>
                </c:pt>
                <c:pt idx="63">
                  <c:v>12-09-2025</c:v>
                </c:pt>
                <c:pt idx="64">
                  <c:v>19-09-2025</c:v>
                </c:pt>
                <c:pt idx="65">
                  <c:v>26-09-2025</c:v>
                </c:pt>
                <c:pt idx="66">
                  <c:v>03-10-2025</c:v>
                </c:pt>
                <c:pt idx="67">
                  <c:v>10-10-2025</c:v>
                </c:pt>
                <c:pt idx="68">
                  <c:v>17-10-2025</c:v>
                </c:pt>
                <c:pt idx="69">
                  <c:v>24-10-2025</c:v>
                </c:pt>
                <c:pt idx="70">
                  <c:v>31-10-2025</c:v>
                </c:pt>
                <c:pt idx="71">
                  <c:v>07-11-2025</c:v>
                </c:pt>
                <c:pt idx="72">
                  <c:v>14-11-2025</c:v>
                </c:pt>
                <c:pt idx="73">
                  <c:v>21-11-2025</c:v>
                </c:pt>
                <c:pt idx="74">
                  <c:v>28-11-2025</c:v>
                </c:pt>
                <c:pt idx="75">
                  <c:v>05-12-2025</c:v>
                </c:pt>
                <c:pt idx="76">
                  <c:v>12-12-2025</c:v>
                </c:pt>
                <c:pt idx="77">
                  <c:v>19-12-2025</c:v>
                </c:pt>
                <c:pt idx="78">
                  <c:v>26-12-2025</c:v>
                </c:pt>
                <c:pt idx="79">
                  <c:v>02-01-2026</c:v>
                </c:pt>
                <c:pt idx="80">
                  <c:v>09-01-2026</c:v>
                </c:pt>
                <c:pt idx="81">
                  <c:v>16-01-2026</c:v>
                </c:pt>
                <c:pt idx="82">
                  <c:v>23-01-2026</c:v>
                </c:pt>
                <c:pt idx="83">
                  <c:v>30-01-2026</c:v>
                </c:pt>
                <c:pt idx="84">
                  <c:v>06-02-2026</c:v>
                </c:pt>
                <c:pt idx="85">
                  <c:v>13-02-2026</c:v>
                </c:pt>
                <c:pt idx="86">
                  <c:v>20-02-2026</c:v>
                </c:pt>
                <c:pt idx="87">
                  <c:v>27-02-2026</c:v>
                </c:pt>
                <c:pt idx="88">
                  <c:v>06-03-2026</c:v>
                </c:pt>
                <c:pt idx="89">
                  <c:v>13-03-2026</c:v>
                </c:pt>
                <c:pt idx="90">
                  <c:v>20-03-2026</c:v>
                </c:pt>
                <c:pt idx="91">
                  <c:v>27-03-2026</c:v>
                </c:pt>
                <c:pt idx="92">
                  <c:v>03-04-2026</c:v>
                </c:pt>
                <c:pt idx="93">
                  <c:v>10-04-2026</c:v>
                </c:pt>
              </c:strCache>
            </c:strRef>
          </c:cat>
          <c:val>
            <c:numRef>
              <c:f>'1. Ham Veri'!$H$2:$H$95</c:f>
              <c:numCache>
                <c:formatCode>General</c:formatCode>
                <c:ptCount val="94"/>
                <c:pt idx="0">
                  <c:v>83.77914150444596</c:v>
                </c:pt>
                <c:pt idx="1">
                  <c:v>83.563484633513752</c:v>
                </c:pt>
                <c:pt idx="2">
                  <c:v>83.175707202143869</c:v>
                </c:pt>
                <c:pt idx="3">
                  <c:v>83.127241859638445</c:v>
                </c:pt>
                <c:pt idx="4">
                  <c:v>83.719612489624566</c:v>
                </c:pt>
                <c:pt idx="5">
                  <c:v>83.573607385289023</c:v>
                </c:pt>
                <c:pt idx="6">
                  <c:v>83.178220845105571</c:v>
                </c:pt>
                <c:pt idx="7">
                  <c:v>82.974616346000658</c:v>
                </c:pt>
                <c:pt idx="8">
                  <c:v>82.748548906511402</c:v>
                </c:pt>
                <c:pt idx="9">
                  <c:v>83.034542254477913</c:v>
                </c:pt>
                <c:pt idx="10">
                  <c:v>83.025055765297225</c:v>
                </c:pt>
                <c:pt idx="11">
                  <c:v>83.166737383266124</c:v>
                </c:pt>
                <c:pt idx="12">
                  <c:v>82.994863568613326</c:v>
                </c:pt>
                <c:pt idx="13">
                  <c:v>83.053045281089993</c:v>
                </c:pt>
                <c:pt idx="14">
                  <c:v>83.524081755739317</c:v>
                </c:pt>
                <c:pt idx="15">
                  <c:v>83.786742445722567</c:v>
                </c:pt>
                <c:pt idx="16">
                  <c:v>84.001160256371634</c:v>
                </c:pt>
                <c:pt idx="17">
                  <c:v>84.127359968962139</c:v>
                </c:pt>
                <c:pt idx="18">
                  <c:v>84.298155783303471</c:v>
                </c:pt>
                <c:pt idx="19">
                  <c:v>84.402743758100655</c:v>
                </c:pt>
                <c:pt idx="20">
                  <c:v>84.894096486132185</c:v>
                </c:pt>
                <c:pt idx="21">
                  <c:v>84.801357596633537</c:v>
                </c:pt>
                <c:pt idx="22">
                  <c:v>85.079362075061567</c:v>
                </c:pt>
                <c:pt idx="23">
                  <c:v>85.15063498488766</c:v>
                </c:pt>
                <c:pt idx="24">
                  <c:v>85.321255658363711</c:v>
                </c:pt>
                <c:pt idx="25">
                  <c:v>85.655993802907375</c:v>
                </c:pt>
                <c:pt idx="26">
                  <c:v>86.255239871443692</c:v>
                </c:pt>
                <c:pt idx="27">
                  <c:v>86.567444362460421</c:v>
                </c:pt>
                <c:pt idx="28">
                  <c:v>86.584507477444689</c:v>
                </c:pt>
                <c:pt idx="29">
                  <c:v>86.613960414963628</c:v>
                </c:pt>
                <c:pt idx="30">
                  <c:v>86.470772678782311</c:v>
                </c:pt>
                <c:pt idx="31">
                  <c:v>86.602764357928763</c:v>
                </c:pt>
                <c:pt idx="32">
                  <c:v>86.52827787168647</c:v>
                </c:pt>
                <c:pt idx="33">
                  <c:v>86.48807776827978</c:v>
                </c:pt>
                <c:pt idx="34">
                  <c:v>86.590357928284789</c:v>
                </c:pt>
                <c:pt idx="35">
                  <c:v>86.88486513633336</c:v>
                </c:pt>
                <c:pt idx="36">
                  <c:v>86.60036418209657</c:v>
                </c:pt>
                <c:pt idx="37">
                  <c:v>86.656233655569892</c:v>
                </c:pt>
                <c:pt idx="38">
                  <c:v>86.344390196890004</c:v>
                </c:pt>
                <c:pt idx="39">
                  <c:v>86.791540907308274</c:v>
                </c:pt>
                <c:pt idx="40">
                  <c:v>86.406983673328099</c:v>
                </c:pt>
                <c:pt idx="41">
                  <c:v>86.455326632139432</c:v>
                </c:pt>
                <c:pt idx="42">
                  <c:v>84.797675279546198</c:v>
                </c:pt>
                <c:pt idx="43">
                  <c:v>84.912629219357399</c:v>
                </c:pt>
                <c:pt idx="44">
                  <c:v>84.754574013078823</c:v>
                </c:pt>
                <c:pt idx="45">
                  <c:v>84.815221339623605</c:v>
                </c:pt>
                <c:pt idx="46">
                  <c:v>85.009173004697473</c:v>
                </c:pt>
                <c:pt idx="47">
                  <c:v>85.01972406727009</c:v>
                </c:pt>
                <c:pt idx="48">
                  <c:v>85.233887130849908</c:v>
                </c:pt>
                <c:pt idx="49">
                  <c:v>85.145183670916907</c:v>
                </c:pt>
                <c:pt idx="50">
                  <c:v>84.406504751002061</c:v>
                </c:pt>
                <c:pt idx="51">
                  <c:v>84.356327546808515</c:v>
                </c:pt>
                <c:pt idx="52">
                  <c:v>84.18660134150187</c:v>
                </c:pt>
                <c:pt idx="53">
                  <c:v>83.763285627052383</c:v>
                </c:pt>
                <c:pt idx="54">
                  <c:v>83.722914181205681</c:v>
                </c:pt>
                <c:pt idx="55">
                  <c:v>83.820391517468778</c:v>
                </c:pt>
                <c:pt idx="56">
                  <c:v>83.711158452884177</c:v>
                </c:pt>
                <c:pt idx="57">
                  <c:v>84.356967420192703</c:v>
                </c:pt>
                <c:pt idx="58">
                  <c:v>83.973075235231903</c:v>
                </c:pt>
                <c:pt idx="59">
                  <c:v>84.05916314807024</c:v>
                </c:pt>
                <c:pt idx="60">
                  <c:v>84.050585095993185</c:v>
                </c:pt>
                <c:pt idx="61">
                  <c:v>84.436101696831514</c:v>
                </c:pt>
                <c:pt idx="62">
                  <c:v>84.384186607937522</c:v>
                </c:pt>
                <c:pt idx="63">
                  <c:v>84.355231795955405</c:v>
                </c:pt>
                <c:pt idx="64">
                  <c:v>84.553460294234938</c:v>
                </c:pt>
                <c:pt idx="65">
                  <c:v>84.885440227472472</c:v>
                </c:pt>
                <c:pt idx="66">
                  <c:v>85.100409521702744</c:v>
                </c:pt>
                <c:pt idx="67">
                  <c:v>85.175896780402894</c:v>
                </c:pt>
                <c:pt idx="68">
                  <c:v>85.303040803047253</c:v>
                </c:pt>
                <c:pt idx="69">
                  <c:v>85.494614817380551</c:v>
                </c:pt>
                <c:pt idx="70">
                  <c:v>85.856523774292825</c:v>
                </c:pt>
                <c:pt idx="71">
                  <c:v>85.989322998752314</c:v>
                </c:pt>
                <c:pt idx="72">
                  <c:v>86.094881318541042</c:v>
                </c:pt>
                <c:pt idx="73">
                  <c:v>86.33221065503875</c:v>
                </c:pt>
                <c:pt idx="74">
                  <c:v>86.565173100217564</c:v>
                </c:pt>
                <c:pt idx="75">
                  <c:v>86.590229571501084</c:v>
                </c:pt>
                <c:pt idx="76">
                  <c:v>86.717945301513438</c:v>
                </c:pt>
                <c:pt idx="77">
                  <c:v>87.045749074138683</c:v>
                </c:pt>
                <c:pt idx="78">
                  <c:v>87.625292742755917</c:v>
                </c:pt>
                <c:pt idx="79">
                  <c:v>87.670025338733026</c:v>
                </c:pt>
                <c:pt idx="80">
                  <c:v>87.680993375805727</c:v>
                </c:pt>
                <c:pt idx="81">
                  <c:v>87.645326860108355</c:v>
                </c:pt>
                <c:pt idx="82">
                  <c:v>87.582039781558535</c:v>
                </c:pt>
                <c:pt idx="83">
                  <c:v>87.542351119041157</c:v>
                </c:pt>
                <c:pt idx="84">
                  <c:v>87.688735153597406</c:v>
                </c:pt>
                <c:pt idx="85">
                  <c:v>87.625531535383658</c:v>
                </c:pt>
                <c:pt idx="86">
                  <c:v>87.796891390702982</c:v>
                </c:pt>
                <c:pt idx="87">
                  <c:v>87.74443066417939</c:v>
                </c:pt>
                <c:pt idx="88">
                  <c:v>87.812706420787762</c:v>
                </c:pt>
                <c:pt idx="89">
                  <c:v>87.916293159820185</c:v>
                </c:pt>
                <c:pt idx="90">
                  <c:v>87.967420804018687</c:v>
                </c:pt>
                <c:pt idx="91">
                  <c:v>87.692698745350924</c:v>
                </c:pt>
                <c:pt idx="92">
                  <c:v>87.448293196025446</c:v>
                </c:pt>
                <c:pt idx="93">
                  <c:v>87.280030238398993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E-AE48-A4D4-A72374D23CB6}"/>
            </c:ext>
          </c:extLst>
        </c:ser>
        <c:ser>
          <c:idx val="1"/>
          <c:order val="1"/>
          <c:tx>
            <c:strRef>
              <c:f>'1. Ham Veri'!$I$1</c:f>
              <c:strCache>
                <c:ptCount val="1"/>
                <c:pt idx="0">
                  <c:v>YP Payı (%)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'1. Ham Veri'!$A$2:$A$95</c:f>
              <c:strCache>
                <c:ptCount val="94"/>
                <c:pt idx="0">
                  <c:v>28-06-2024</c:v>
                </c:pt>
                <c:pt idx="1">
                  <c:v>05-07-2024</c:v>
                </c:pt>
                <c:pt idx="2">
                  <c:v>12-07-2024</c:v>
                </c:pt>
                <c:pt idx="3">
                  <c:v>19-07-2024</c:v>
                </c:pt>
                <c:pt idx="4">
                  <c:v>26-07-2024</c:v>
                </c:pt>
                <c:pt idx="5">
                  <c:v>02-08-2024</c:v>
                </c:pt>
                <c:pt idx="6">
                  <c:v>09-08-2024</c:v>
                </c:pt>
                <c:pt idx="7">
                  <c:v>16-08-2024</c:v>
                </c:pt>
                <c:pt idx="8">
                  <c:v>23-08-2024</c:v>
                </c:pt>
                <c:pt idx="9">
                  <c:v>30-08-2024</c:v>
                </c:pt>
                <c:pt idx="10">
                  <c:v>06-09-2024</c:v>
                </c:pt>
                <c:pt idx="11">
                  <c:v>13-09-2024</c:v>
                </c:pt>
                <c:pt idx="12">
                  <c:v>20-09-2024</c:v>
                </c:pt>
                <c:pt idx="13">
                  <c:v>27-09-2024</c:v>
                </c:pt>
                <c:pt idx="14">
                  <c:v>04-10-2024</c:v>
                </c:pt>
                <c:pt idx="15">
                  <c:v>11-10-2024</c:v>
                </c:pt>
                <c:pt idx="16">
                  <c:v>18-10-2024</c:v>
                </c:pt>
                <c:pt idx="17">
                  <c:v>25-10-2024</c:v>
                </c:pt>
                <c:pt idx="18">
                  <c:v>01-11-2024</c:v>
                </c:pt>
                <c:pt idx="19">
                  <c:v>08-11-2024</c:v>
                </c:pt>
                <c:pt idx="20">
                  <c:v>15-11-2024</c:v>
                </c:pt>
                <c:pt idx="21">
                  <c:v>22-11-2024</c:v>
                </c:pt>
                <c:pt idx="22">
                  <c:v>29-11-2024</c:v>
                </c:pt>
                <c:pt idx="23">
                  <c:v>06-12-2024</c:v>
                </c:pt>
                <c:pt idx="24">
                  <c:v>13-12-2024</c:v>
                </c:pt>
                <c:pt idx="25">
                  <c:v>20-12-2024</c:v>
                </c:pt>
                <c:pt idx="26">
                  <c:v>27-12-2024</c:v>
                </c:pt>
                <c:pt idx="27">
                  <c:v>03-01-2025</c:v>
                </c:pt>
                <c:pt idx="28">
                  <c:v>10-01-2025</c:v>
                </c:pt>
                <c:pt idx="29">
                  <c:v>17-01-2025</c:v>
                </c:pt>
                <c:pt idx="30">
                  <c:v>24-01-2025</c:v>
                </c:pt>
                <c:pt idx="31">
                  <c:v>31-01-2025</c:v>
                </c:pt>
                <c:pt idx="32">
                  <c:v>07-02-2025</c:v>
                </c:pt>
                <c:pt idx="33">
                  <c:v>14-02-2025</c:v>
                </c:pt>
                <c:pt idx="34">
                  <c:v>21-02-2025</c:v>
                </c:pt>
                <c:pt idx="35">
                  <c:v>28-02-2025</c:v>
                </c:pt>
                <c:pt idx="36">
                  <c:v>07-03-2025</c:v>
                </c:pt>
                <c:pt idx="37">
                  <c:v>14-03-2025</c:v>
                </c:pt>
                <c:pt idx="38">
                  <c:v>21-03-2025</c:v>
                </c:pt>
                <c:pt idx="39">
                  <c:v>28-03-2025</c:v>
                </c:pt>
                <c:pt idx="40">
                  <c:v>04-04-2025</c:v>
                </c:pt>
                <c:pt idx="41">
                  <c:v>11-04-2025</c:v>
                </c:pt>
                <c:pt idx="42">
                  <c:v>18-04-2025</c:v>
                </c:pt>
                <c:pt idx="43">
                  <c:v>25-04-2025</c:v>
                </c:pt>
                <c:pt idx="44">
                  <c:v>02-05-2025</c:v>
                </c:pt>
                <c:pt idx="45">
                  <c:v>09-05-2025</c:v>
                </c:pt>
                <c:pt idx="46">
                  <c:v>16-05-2025</c:v>
                </c:pt>
                <c:pt idx="47">
                  <c:v>23-05-2025</c:v>
                </c:pt>
                <c:pt idx="48">
                  <c:v>30-05-2025</c:v>
                </c:pt>
                <c:pt idx="49">
                  <c:v>06-06-2025</c:v>
                </c:pt>
                <c:pt idx="50">
                  <c:v>13-06-2025</c:v>
                </c:pt>
                <c:pt idx="51">
                  <c:v>20-06-2025</c:v>
                </c:pt>
                <c:pt idx="52">
                  <c:v>27-06-2025</c:v>
                </c:pt>
                <c:pt idx="53">
                  <c:v>04-07-2025</c:v>
                </c:pt>
                <c:pt idx="54">
                  <c:v>11-07-2025</c:v>
                </c:pt>
                <c:pt idx="55">
                  <c:v>18-07-2025</c:v>
                </c:pt>
                <c:pt idx="56">
                  <c:v>25-07-2025</c:v>
                </c:pt>
                <c:pt idx="57">
                  <c:v>01-08-2025</c:v>
                </c:pt>
                <c:pt idx="58">
                  <c:v>08-08-2025</c:v>
                </c:pt>
                <c:pt idx="59">
                  <c:v>15-08-2025</c:v>
                </c:pt>
                <c:pt idx="60">
                  <c:v>22-08-2025</c:v>
                </c:pt>
                <c:pt idx="61">
                  <c:v>29-08-2025</c:v>
                </c:pt>
                <c:pt idx="62">
                  <c:v>05-09-2025</c:v>
                </c:pt>
                <c:pt idx="63">
                  <c:v>12-09-2025</c:v>
                </c:pt>
                <c:pt idx="64">
                  <c:v>19-09-2025</c:v>
                </c:pt>
                <c:pt idx="65">
                  <c:v>26-09-2025</c:v>
                </c:pt>
                <c:pt idx="66">
                  <c:v>03-10-2025</c:v>
                </c:pt>
                <c:pt idx="67">
                  <c:v>10-10-2025</c:v>
                </c:pt>
                <c:pt idx="68">
                  <c:v>17-10-2025</c:v>
                </c:pt>
                <c:pt idx="69">
                  <c:v>24-10-2025</c:v>
                </c:pt>
                <c:pt idx="70">
                  <c:v>31-10-2025</c:v>
                </c:pt>
                <c:pt idx="71">
                  <c:v>07-11-2025</c:v>
                </c:pt>
                <c:pt idx="72">
                  <c:v>14-11-2025</c:v>
                </c:pt>
                <c:pt idx="73">
                  <c:v>21-11-2025</c:v>
                </c:pt>
                <c:pt idx="74">
                  <c:v>28-11-2025</c:v>
                </c:pt>
                <c:pt idx="75">
                  <c:v>05-12-2025</c:v>
                </c:pt>
                <c:pt idx="76">
                  <c:v>12-12-2025</c:v>
                </c:pt>
                <c:pt idx="77">
                  <c:v>19-12-2025</c:v>
                </c:pt>
                <c:pt idx="78">
                  <c:v>26-12-2025</c:v>
                </c:pt>
                <c:pt idx="79">
                  <c:v>02-01-2026</c:v>
                </c:pt>
                <c:pt idx="80">
                  <c:v>09-01-2026</c:v>
                </c:pt>
                <c:pt idx="81">
                  <c:v>16-01-2026</c:v>
                </c:pt>
                <c:pt idx="82">
                  <c:v>23-01-2026</c:v>
                </c:pt>
                <c:pt idx="83">
                  <c:v>30-01-2026</c:v>
                </c:pt>
                <c:pt idx="84">
                  <c:v>06-02-2026</c:v>
                </c:pt>
                <c:pt idx="85">
                  <c:v>13-02-2026</c:v>
                </c:pt>
                <c:pt idx="86">
                  <c:v>20-02-2026</c:v>
                </c:pt>
                <c:pt idx="87">
                  <c:v>27-02-2026</c:v>
                </c:pt>
                <c:pt idx="88">
                  <c:v>06-03-2026</c:v>
                </c:pt>
                <c:pt idx="89">
                  <c:v>13-03-2026</c:v>
                </c:pt>
                <c:pt idx="90">
                  <c:v>20-03-2026</c:v>
                </c:pt>
                <c:pt idx="91">
                  <c:v>27-03-2026</c:v>
                </c:pt>
                <c:pt idx="92">
                  <c:v>03-04-2026</c:v>
                </c:pt>
                <c:pt idx="93">
                  <c:v>10-04-2026</c:v>
                </c:pt>
              </c:strCache>
            </c:strRef>
          </c:cat>
          <c:val>
            <c:numRef>
              <c:f>'1. Ham Veri'!$I$2:$I$95</c:f>
              <c:numCache>
                <c:formatCode>General</c:formatCode>
                <c:ptCount val="94"/>
                <c:pt idx="0">
                  <c:v>16.22085849555404</c:v>
                </c:pt>
                <c:pt idx="1">
                  <c:v>16.436515366486251</c:v>
                </c:pt>
                <c:pt idx="2">
                  <c:v>16.824292797856113</c:v>
                </c:pt>
                <c:pt idx="3">
                  <c:v>16.872758140361562</c:v>
                </c:pt>
                <c:pt idx="4">
                  <c:v>16.280387510375423</c:v>
                </c:pt>
                <c:pt idx="5">
                  <c:v>16.42639261471097</c:v>
                </c:pt>
                <c:pt idx="6">
                  <c:v>16.821779154894418</c:v>
                </c:pt>
                <c:pt idx="7">
                  <c:v>17.025383653999342</c:v>
                </c:pt>
                <c:pt idx="8">
                  <c:v>17.251451093488612</c:v>
                </c:pt>
                <c:pt idx="9">
                  <c:v>16.965457745522095</c:v>
                </c:pt>
                <c:pt idx="10">
                  <c:v>16.974944234702789</c:v>
                </c:pt>
                <c:pt idx="11">
                  <c:v>16.833262616733879</c:v>
                </c:pt>
                <c:pt idx="12">
                  <c:v>17.005136431386671</c:v>
                </c:pt>
                <c:pt idx="13">
                  <c:v>16.946954718910018</c:v>
                </c:pt>
                <c:pt idx="14">
                  <c:v>16.475918244260676</c:v>
                </c:pt>
                <c:pt idx="15">
                  <c:v>16.213257554277437</c:v>
                </c:pt>
                <c:pt idx="16">
                  <c:v>15.998839743628363</c:v>
                </c:pt>
                <c:pt idx="17">
                  <c:v>15.872640031037848</c:v>
                </c:pt>
                <c:pt idx="18">
                  <c:v>15.701844216696514</c:v>
                </c:pt>
                <c:pt idx="19">
                  <c:v>15.597256241899334</c:v>
                </c:pt>
                <c:pt idx="20">
                  <c:v>15.105903513867805</c:v>
                </c:pt>
                <c:pt idx="21">
                  <c:v>15.198642403366463</c:v>
                </c:pt>
                <c:pt idx="22">
                  <c:v>14.920637924938429</c:v>
                </c:pt>
                <c:pt idx="23">
                  <c:v>14.849365015112342</c:v>
                </c:pt>
                <c:pt idx="24">
                  <c:v>14.678744341636287</c:v>
                </c:pt>
                <c:pt idx="25">
                  <c:v>14.344006197092639</c:v>
                </c:pt>
                <c:pt idx="26">
                  <c:v>13.744760128556299</c:v>
                </c:pt>
                <c:pt idx="27">
                  <c:v>13.432555637539565</c:v>
                </c:pt>
                <c:pt idx="28">
                  <c:v>13.415492522555317</c:v>
                </c:pt>
                <c:pt idx="29">
                  <c:v>13.38603958503638</c:v>
                </c:pt>
                <c:pt idx="30">
                  <c:v>13.529227321217704</c:v>
                </c:pt>
                <c:pt idx="31">
                  <c:v>13.397235642071248</c:v>
                </c:pt>
                <c:pt idx="32">
                  <c:v>13.471722128313512</c:v>
                </c:pt>
                <c:pt idx="33">
                  <c:v>13.511922231720222</c:v>
                </c:pt>
                <c:pt idx="34">
                  <c:v>13.409642071715227</c:v>
                </c:pt>
                <c:pt idx="35">
                  <c:v>13.115134863666658</c:v>
                </c:pt>
                <c:pt idx="36">
                  <c:v>13.399635817903436</c:v>
                </c:pt>
                <c:pt idx="37">
                  <c:v>13.343766344430112</c:v>
                </c:pt>
                <c:pt idx="38">
                  <c:v>13.655609803109989</c:v>
                </c:pt>
                <c:pt idx="39">
                  <c:v>13.208459092691733</c:v>
                </c:pt>
                <c:pt idx="40">
                  <c:v>13.593016326671897</c:v>
                </c:pt>
                <c:pt idx="41">
                  <c:v>13.544673367860566</c:v>
                </c:pt>
                <c:pt idx="42">
                  <c:v>15.202324720453788</c:v>
                </c:pt>
                <c:pt idx="43">
                  <c:v>15.087370780642587</c:v>
                </c:pt>
                <c:pt idx="44">
                  <c:v>15.245425986921186</c:v>
                </c:pt>
                <c:pt idx="45">
                  <c:v>15.184778660376406</c:v>
                </c:pt>
                <c:pt idx="46">
                  <c:v>14.990826995302536</c:v>
                </c:pt>
                <c:pt idx="47">
                  <c:v>14.980275932729894</c:v>
                </c:pt>
                <c:pt idx="48">
                  <c:v>14.766112869150094</c:v>
                </c:pt>
                <c:pt idx="49">
                  <c:v>14.854816329083095</c:v>
                </c:pt>
                <c:pt idx="50">
                  <c:v>15.593495248997943</c:v>
                </c:pt>
                <c:pt idx="51">
                  <c:v>15.643672453191476</c:v>
                </c:pt>
                <c:pt idx="52">
                  <c:v>15.813398658498141</c:v>
                </c:pt>
                <c:pt idx="53">
                  <c:v>16.23671437294762</c:v>
                </c:pt>
                <c:pt idx="54">
                  <c:v>16.277085818794308</c:v>
                </c:pt>
                <c:pt idx="55">
                  <c:v>16.179608482531215</c:v>
                </c:pt>
                <c:pt idx="56">
                  <c:v>16.28884154711584</c:v>
                </c:pt>
                <c:pt idx="57">
                  <c:v>15.643032579807304</c:v>
                </c:pt>
                <c:pt idx="58">
                  <c:v>16.026924764768104</c:v>
                </c:pt>
                <c:pt idx="59">
                  <c:v>15.940836851929769</c:v>
                </c:pt>
                <c:pt idx="60">
                  <c:v>15.949414904006806</c:v>
                </c:pt>
                <c:pt idx="61">
                  <c:v>15.563898303168481</c:v>
                </c:pt>
                <c:pt idx="62">
                  <c:v>15.615813392062472</c:v>
                </c:pt>
                <c:pt idx="63">
                  <c:v>15.644768204044615</c:v>
                </c:pt>
                <c:pt idx="64">
                  <c:v>15.446539705765062</c:v>
                </c:pt>
                <c:pt idx="65">
                  <c:v>15.114559772527514</c:v>
                </c:pt>
                <c:pt idx="66">
                  <c:v>14.899590478297267</c:v>
                </c:pt>
                <c:pt idx="67">
                  <c:v>14.824103219597104</c:v>
                </c:pt>
                <c:pt idx="68">
                  <c:v>14.696959196952758</c:v>
                </c:pt>
                <c:pt idx="69">
                  <c:v>14.505385182619444</c:v>
                </c:pt>
                <c:pt idx="70">
                  <c:v>14.143476225707181</c:v>
                </c:pt>
                <c:pt idx="71">
                  <c:v>14.010677001247684</c:v>
                </c:pt>
                <c:pt idx="72">
                  <c:v>13.905118681458969</c:v>
                </c:pt>
                <c:pt idx="73">
                  <c:v>13.667789344961243</c:v>
                </c:pt>
                <c:pt idx="74">
                  <c:v>13.434826899782443</c:v>
                </c:pt>
                <c:pt idx="75">
                  <c:v>13.409770428498909</c:v>
                </c:pt>
                <c:pt idx="76">
                  <c:v>13.282054698486572</c:v>
                </c:pt>
                <c:pt idx="77">
                  <c:v>12.954250925861333</c:v>
                </c:pt>
                <c:pt idx="78">
                  <c:v>12.374707257244104</c:v>
                </c:pt>
                <c:pt idx="79">
                  <c:v>12.329974661266975</c:v>
                </c:pt>
                <c:pt idx="80">
                  <c:v>12.319006624194266</c:v>
                </c:pt>
                <c:pt idx="81">
                  <c:v>12.354673139891668</c:v>
                </c:pt>
                <c:pt idx="82">
                  <c:v>12.417960218441458</c:v>
                </c:pt>
                <c:pt idx="83">
                  <c:v>12.457648880958846</c:v>
                </c:pt>
                <c:pt idx="84">
                  <c:v>12.311264846402587</c:v>
                </c:pt>
                <c:pt idx="85">
                  <c:v>12.374468464616346</c:v>
                </c:pt>
                <c:pt idx="86">
                  <c:v>12.203108609297022</c:v>
                </c:pt>
                <c:pt idx="87">
                  <c:v>12.255569335820612</c:v>
                </c:pt>
                <c:pt idx="88">
                  <c:v>12.187293579212236</c:v>
                </c:pt>
                <c:pt idx="89">
                  <c:v>12.083706840179817</c:v>
                </c:pt>
                <c:pt idx="90">
                  <c:v>12.032579195981311</c:v>
                </c:pt>
                <c:pt idx="91">
                  <c:v>12.307301254649078</c:v>
                </c:pt>
                <c:pt idx="92">
                  <c:v>12.551706803974552</c:v>
                </c:pt>
                <c:pt idx="93">
                  <c:v>12.719969761601025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E-AE48-A4D4-A72374D23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390912"/>
        <c:axId val="537379264"/>
      </c:areaChart>
      <c:catAx>
        <c:axId val="53739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37379264"/>
        <c:crosses val="autoZero"/>
        <c:auto val="1"/>
        <c:lblAlgn val="ctr"/>
        <c:lblOffset val="100"/>
        <c:noMultiLvlLbl val="0"/>
      </c:catAx>
      <c:valAx>
        <c:axId val="5373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37390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TL ve YP Kredi Büyüklüğü (Milyon TL)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Ham Veri'!$C$1</c:f>
              <c:strCache>
                <c:ptCount val="1"/>
                <c:pt idx="0">
                  <c:v>TL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 Ham Veri'!$A$2:$A$95</c:f>
              <c:strCache>
                <c:ptCount val="94"/>
                <c:pt idx="0">
                  <c:v>28-06-2024</c:v>
                </c:pt>
                <c:pt idx="1">
                  <c:v>05-07-2024</c:v>
                </c:pt>
                <c:pt idx="2">
                  <c:v>12-07-2024</c:v>
                </c:pt>
                <c:pt idx="3">
                  <c:v>19-07-2024</c:v>
                </c:pt>
                <c:pt idx="4">
                  <c:v>26-07-2024</c:v>
                </c:pt>
                <c:pt idx="5">
                  <c:v>02-08-2024</c:v>
                </c:pt>
                <c:pt idx="6">
                  <c:v>09-08-2024</c:v>
                </c:pt>
                <c:pt idx="7">
                  <c:v>16-08-2024</c:v>
                </c:pt>
                <c:pt idx="8">
                  <c:v>23-08-2024</c:v>
                </c:pt>
                <c:pt idx="9">
                  <c:v>30-08-2024</c:v>
                </c:pt>
                <c:pt idx="10">
                  <c:v>06-09-2024</c:v>
                </c:pt>
                <c:pt idx="11">
                  <c:v>13-09-2024</c:v>
                </c:pt>
                <c:pt idx="12">
                  <c:v>20-09-2024</c:v>
                </c:pt>
                <c:pt idx="13">
                  <c:v>27-09-2024</c:v>
                </c:pt>
                <c:pt idx="14">
                  <c:v>04-10-2024</c:v>
                </c:pt>
                <c:pt idx="15">
                  <c:v>11-10-2024</c:v>
                </c:pt>
                <c:pt idx="16">
                  <c:v>18-10-2024</c:v>
                </c:pt>
                <c:pt idx="17">
                  <c:v>25-10-2024</c:v>
                </c:pt>
                <c:pt idx="18">
                  <c:v>01-11-2024</c:v>
                </c:pt>
                <c:pt idx="19">
                  <c:v>08-11-2024</c:v>
                </c:pt>
                <c:pt idx="20">
                  <c:v>15-11-2024</c:v>
                </c:pt>
                <c:pt idx="21">
                  <c:v>22-11-2024</c:v>
                </c:pt>
                <c:pt idx="22">
                  <c:v>29-11-2024</c:v>
                </c:pt>
                <c:pt idx="23">
                  <c:v>06-12-2024</c:v>
                </c:pt>
                <c:pt idx="24">
                  <c:v>13-12-2024</c:v>
                </c:pt>
                <c:pt idx="25">
                  <c:v>20-12-2024</c:v>
                </c:pt>
                <c:pt idx="26">
                  <c:v>27-12-2024</c:v>
                </c:pt>
                <c:pt idx="27">
                  <c:v>03-01-2025</c:v>
                </c:pt>
                <c:pt idx="28">
                  <c:v>10-01-2025</c:v>
                </c:pt>
                <c:pt idx="29">
                  <c:v>17-01-2025</c:v>
                </c:pt>
                <c:pt idx="30">
                  <c:v>24-01-2025</c:v>
                </c:pt>
                <c:pt idx="31">
                  <c:v>31-01-2025</c:v>
                </c:pt>
                <c:pt idx="32">
                  <c:v>07-02-2025</c:v>
                </c:pt>
                <c:pt idx="33">
                  <c:v>14-02-2025</c:v>
                </c:pt>
                <c:pt idx="34">
                  <c:v>21-02-2025</c:v>
                </c:pt>
                <c:pt idx="35">
                  <c:v>28-02-2025</c:v>
                </c:pt>
                <c:pt idx="36">
                  <c:v>07-03-2025</c:v>
                </c:pt>
                <c:pt idx="37">
                  <c:v>14-03-2025</c:v>
                </c:pt>
                <c:pt idx="38">
                  <c:v>21-03-2025</c:v>
                </c:pt>
                <c:pt idx="39">
                  <c:v>28-03-2025</c:v>
                </c:pt>
                <c:pt idx="40">
                  <c:v>04-04-2025</c:v>
                </c:pt>
                <c:pt idx="41">
                  <c:v>11-04-2025</c:v>
                </c:pt>
                <c:pt idx="42">
                  <c:v>18-04-2025</c:v>
                </c:pt>
                <c:pt idx="43">
                  <c:v>25-04-2025</c:v>
                </c:pt>
                <c:pt idx="44">
                  <c:v>02-05-2025</c:v>
                </c:pt>
                <c:pt idx="45">
                  <c:v>09-05-2025</c:v>
                </c:pt>
                <c:pt idx="46">
                  <c:v>16-05-2025</c:v>
                </c:pt>
                <c:pt idx="47">
                  <c:v>23-05-2025</c:v>
                </c:pt>
                <c:pt idx="48">
                  <c:v>30-05-2025</c:v>
                </c:pt>
                <c:pt idx="49">
                  <c:v>06-06-2025</c:v>
                </c:pt>
                <c:pt idx="50">
                  <c:v>13-06-2025</c:v>
                </c:pt>
                <c:pt idx="51">
                  <c:v>20-06-2025</c:v>
                </c:pt>
                <c:pt idx="52">
                  <c:v>27-06-2025</c:v>
                </c:pt>
                <c:pt idx="53">
                  <c:v>04-07-2025</c:v>
                </c:pt>
                <c:pt idx="54">
                  <c:v>11-07-2025</c:v>
                </c:pt>
                <c:pt idx="55">
                  <c:v>18-07-2025</c:v>
                </c:pt>
                <c:pt idx="56">
                  <c:v>25-07-2025</c:v>
                </c:pt>
                <c:pt idx="57">
                  <c:v>01-08-2025</c:v>
                </c:pt>
                <c:pt idx="58">
                  <c:v>08-08-2025</c:v>
                </c:pt>
                <c:pt idx="59">
                  <c:v>15-08-2025</c:v>
                </c:pt>
                <c:pt idx="60">
                  <c:v>22-08-2025</c:v>
                </c:pt>
                <c:pt idx="61">
                  <c:v>29-08-2025</c:v>
                </c:pt>
                <c:pt idx="62">
                  <c:v>05-09-2025</c:v>
                </c:pt>
                <c:pt idx="63">
                  <c:v>12-09-2025</c:v>
                </c:pt>
                <c:pt idx="64">
                  <c:v>19-09-2025</c:v>
                </c:pt>
                <c:pt idx="65">
                  <c:v>26-09-2025</c:v>
                </c:pt>
                <c:pt idx="66">
                  <c:v>03-10-2025</c:v>
                </c:pt>
                <c:pt idx="67">
                  <c:v>10-10-2025</c:v>
                </c:pt>
                <c:pt idx="68">
                  <c:v>17-10-2025</c:v>
                </c:pt>
                <c:pt idx="69">
                  <c:v>24-10-2025</c:v>
                </c:pt>
                <c:pt idx="70">
                  <c:v>31-10-2025</c:v>
                </c:pt>
                <c:pt idx="71">
                  <c:v>07-11-2025</c:v>
                </c:pt>
                <c:pt idx="72">
                  <c:v>14-11-2025</c:v>
                </c:pt>
                <c:pt idx="73">
                  <c:v>21-11-2025</c:v>
                </c:pt>
                <c:pt idx="74">
                  <c:v>28-11-2025</c:v>
                </c:pt>
                <c:pt idx="75">
                  <c:v>05-12-2025</c:v>
                </c:pt>
                <c:pt idx="76">
                  <c:v>12-12-2025</c:v>
                </c:pt>
                <c:pt idx="77">
                  <c:v>19-12-2025</c:v>
                </c:pt>
                <c:pt idx="78">
                  <c:v>26-12-2025</c:v>
                </c:pt>
                <c:pt idx="79">
                  <c:v>02-01-2026</c:v>
                </c:pt>
                <c:pt idx="80">
                  <c:v>09-01-2026</c:v>
                </c:pt>
                <c:pt idx="81">
                  <c:v>16-01-2026</c:v>
                </c:pt>
                <c:pt idx="82">
                  <c:v>23-01-2026</c:v>
                </c:pt>
                <c:pt idx="83">
                  <c:v>30-01-2026</c:v>
                </c:pt>
                <c:pt idx="84">
                  <c:v>06-02-2026</c:v>
                </c:pt>
                <c:pt idx="85">
                  <c:v>13-02-2026</c:v>
                </c:pt>
                <c:pt idx="86">
                  <c:v>20-02-2026</c:v>
                </c:pt>
                <c:pt idx="87">
                  <c:v>27-02-2026</c:v>
                </c:pt>
                <c:pt idx="88">
                  <c:v>06-03-2026</c:v>
                </c:pt>
                <c:pt idx="89">
                  <c:v>13-03-2026</c:v>
                </c:pt>
                <c:pt idx="90">
                  <c:v>20-03-2026</c:v>
                </c:pt>
                <c:pt idx="91">
                  <c:v>27-03-2026</c:v>
                </c:pt>
                <c:pt idx="92">
                  <c:v>03-04-2026</c:v>
                </c:pt>
                <c:pt idx="93">
                  <c:v>10-04-2026</c:v>
                </c:pt>
              </c:strCache>
            </c:strRef>
          </c:cat>
          <c:val>
            <c:numRef>
              <c:f>'1. Ham Veri'!$C$2:$C$95</c:f>
              <c:numCache>
                <c:formatCode>#,##0.00</c:formatCode>
                <c:ptCount val="94"/>
                <c:pt idx="0">
                  <c:v>98030.73</c:v>
                </c:pt>
                <c:pt idx="1">
                  <c:v>96041.429000000004</c:v>
                </c:pt>
                <c:pt idx="2">
                  <c:v>96172.501999999993</c:v>
                </c:pt>
                <c:pt idx="3">
                  <c:v>96978.198000000004</c:v>
                </c:pt>
                <c:pt idx="4">
                  <c:v>99718.082999999999</c:v>
                </c:pt>
                <c:pt idx="5">
                  <c:v>100379.913</c:v>
                </c:pt>
                <c:pt idx="6">
                  <c:v>100152.511</c:v>
                </c:pt>
                <c:pt idx="7">
                  <c:v>99771.962</c:v>
                </c:pt>
                <c:pt idx="8">
                  <c:v>100670.012</c:v>
                </c:pt>
                <c:pt idx="9">
                  <c:v>103837.22100000001</c:v>
                </c:pt>
                <c:pt idx="10">
                  <c:v>102457.94100000001</c:v>
                </c:pt>
                <c:pt idx="11">
                  <c:v>102559.993</c:v>
                </c:pt>
                <c:pt idx="12">
                  <c:v>102934.88</c:v>
                </c:pt>
                <c:pt idx="13">
                  <c:v>105105.94100000001</c:v>
                </c:pt>
                <c:pt idx="14">
                  <c:v>106534.552</c:v>
                </c:pt>
                <c:pt idx="15">
                  <c:v>107371.61199999999</c:v>
                </c:pt>
                <c:pt idx="16">
                  <c:v>107920.53599999999</c:v>
                </c:pt>
                <c:pt idx="17">
                  <c:v>108870.07799999999</c:v>
                </c:pt>
                <c:pt idx="18">
                  <c:v>110334.92</c:v>
                </c:pt>
                <c:pt idx="19">
                  <c:v>110146.30899999999</c:v>
                </c:pt>
                <c:pt idx="20">
                  <c:v>112555.977</c:v>
                </c:pt>
                <c:pt idx="21">
                  <c:v>113019.452</c:v>
                </c:pt>
                <c:pt idx="22">
                  <c:v>117681.857</c:v>
                </c:pt>
                <c:pt idx="23">
                  <c:v>117141.164</c:v>
                </c:pt>
                <c:pt idx="24">
                  <c:v>119204.58900000001</c:v>
                </c:pt>
                <c:pt idx="25">
                  <c:v>121645.45</c:v>
                </c:pt>
                <c:pt idx="26">
                  <c:v>129719.376</c:v>
                </c:pt>
                <c:pt idx="27">
                  <c:v>132288.65299999999</c:v>
                </c:pt>
                <c:pt idx="28">
                  <c:v>131494.03599999999</c:v>
                </c:pt>
                <c:pt idx="29">
                  <c:v>131561.90100000001</c:v>
                </c:pt>
                <c:pt idx="30">
                  <c:v>130795.22900000001</c:v>
                </c:pt>
                <c:pt idx="31">
                  <c:v>130998.731</c:v>
                </c:pt>
                <c:pt idx="32">
                  <c:v>129971.82799999999</c:v>
                </c:pt>
                <c:pt idx="33">
                  <c:v>131052.499</c:v>
                </c:pt>
                <c:pt idx="34">
                  <c:v>131680.342</c:v>
                </c:pt>
                <c:pt idx="35">
                  <c:v>134789.899</c:v>
                </c:pt>
                <c:pt idx="36">
                  <c:v>134380.791</c:v>
                </c:pt>
                <c:pt idx="37">
                  <c:v>137769.394</c:v>
                </c:pt>
                <c:pt idx="38">
                  <c:v>140013.851</c:v>
                </c:pt>
                <c:pt idx="39">
                  <c:v>146550.32800000001</c:v>
                </c:pt>
                <c:pt idx="40">
                  <c:v>143508.91699999999</c:v>
                </c:pt>
                <c:pt idx="41">
                  <c:v>143236.71599999999</c:v>
                </c:pt>
                <c:pt idx="42">
                  <c:v>144756.56899999999</c:v>
                </c:pt>
                <c:pt idx="43">
                  <c:v>147213.78099999999</c:v>
                </c:pt>
                <c:pt idx="44">
                  <c:v>149080.58100000001</c:v>
                </c:pt>
                <c:pt idx="45">
                  <c:v>148517.84</c:v>
                </c:pt>
                <c:pt idx="46">
                  <c:v>149485.584</c:v>
                </c:pt>
                <c:pt idx="47">
                  <c:v>150545.26199999999</c:v>
                </c:pt>
                <c:pt idx="48">
                  <c:v>154769.71400000001</c:v>
                </c:pt>
                <c:pt idx="49">
                  <c:v>154752.766</c:v>
                </c:pt>
                <c:pt idx="50">
                  <c:v>154260.77100000001</c:v>
                </c:pt>
                <c:pt idx="51">
                  <c:v>154630.73699999999</c:v>
                </c:pt>
                <c:pt idx="52">
                  <c:v>158245.23800000001</c:v>
                </c:pt>
                <c:pt idx="53">
                  <c:v>161687.508</c:v>
                </c:pt>
                <c:pt idx="54">
                  <c:v>161742.348</c:v>
                </c:pt>
                <c:pt idx="55">
                  <c:v>161312.864</c:v>
                </c:pt>
                <c:pt idx="56">
                  <c:v>161184.41</c:v>
                </c:pt>
                <c:pt idx="57">
                  <c:v>165558.44099999999</c:v>
                </c:pt>
                <c:pt idx="58">
                  <c:v>164995.60699999999</c:v>
                </c:pt>
                <c:pt idx="59">
                  <c:v>166037.28200000001</c:v>
                </c:pt>
                <c:pt idx="60">
                  <c:v>165052.073</c:v>
                </c:pt>
                <c:pt idx="61">
                  <c:v>168857.97</c:v>
                </c:pt>
                <c:pt idx="62">
                  <c:v>167426.73300000001</c:v>
                </c:pt>
                <c:pt idx="63">
                  <c:v>167680.05600000001</c:v>
                </c:pt>
                <c:pt idx="64">
                  <c:v>170914.611</c:v>
                </c:pt>
                <c:pt idx="65">
                  <c:v>174836.049</c:v>
                </c:pt>
                <c:pt idx="66">
                  <c:v>180131.49900000001</c:v>
                </c:pt>
                <c:pt idx="67">
                  <c:v>181281.62</c:v>
                </c:pt>
                <c:pt idx="68">
                  <c:v>183604.34400000001</c:v>
                </c:pt>
                <c:pt idx="69">
                  <c:v>186114.671</c:v>
                </c:pt>
                <c:pt idx="70">
                  <c:v>189604.79500000001</c:v>
                </c:pt>
                <c:pt idx="71">
                  <c:v>191530.90599999999</c:v>
                </c:pt>
                <c:pt idx="72">
                  <c:v>194550.277</c:v>
                </c:pt>
                <c:pt idx="73">
                  <c:v>197242.70699999999</c:v>
                </c:pt>
                <c:pt idx="74">
                  <c:v>208438.098</c:v>
                </c:pt>
                <c:pt idx="75">
                  <c:v>210306.47899999999</c:v>
                </c:pt>
                <c:pt idx="76">
                  <c:v>213838.48199999999</c:v>
                </c:pt>
                <c:pt idx="77">
                  <c:v>219751.98300000001</c:v>
                </c:pt>
                <c:pt idx="78">
                  <c:v>233310.17300000001</c:v>
                </c:pt>
                <c:pt idx="79">
                  <c:v>241222.60800000001</c:v>
                </c:pt>
                <c:pt idx="80">
                  <c:v>241410.17199999999</c:v>
                </c:pt>
                <c:pt idx="81">
                  <c:v>240435.28400000001</c:v>
                </c:pt>
                <c:pt idx="82">
                  <c:v>237487.516</c:v>
                </c:pt>
                <c:pt idx="83">
                  <c:v>239450.42600000001</c:v>
                </c:pt>
                <c:pt idx="84">
                  <c:v>238793.234</c:v>
                </c:pt>
                <c:pt idx="85">
                  <c:v>238240.47399999999</c:v>
                </c:pt>
                <c:pt idx="86">
                  <c:v>239778.11199999999</c:v>
                </c:pt>
                <c:pt idx="87">
                  <c:v>242731.57500000001</c:v>
                </c:pt>
                <c:pt idx="88">
                  <c:v>240131.22899999999</c:v>
                </c:pt>
                <c:pt idx="89">
                  <c:v>241160.25</c:v>
                </c:pt>
                <c:pt idx="90">
                  <c:v>240782.54699999999</c:v>
                </c:pt>
                <c:pt idx="91">
                  <c:v>240779.802</c:v>
                </c:pt>
                <c:pt idx="92">
                  <c:v>244250.307</c:v>
                </c:pt>
                <c:pt idx="93">
                  <c:v>243279.41099999999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1B-B141-806C-CBED47631244}"/>
            </c:ext>
          </c:extLst>
        </c:ser>
        <c:ser>
          <c:idx val="1"/>
          <c:order val="1"/>
          <c:tx>
            <c:strRef>
              <c:f>'1. Ham Veri'!$D$1</c:f>
              <c:strCache>
                <c:ptCount val="1"/>
                <c:pt idx="0">
                  <c:v>YP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 Ham Veri'!$A$2:$A$95</c:f>
              <c:strCache>
                <c:ptCount val="94"/>
                <c:pt idx="0">
                  <c:v>28-06-2024</c:v>
                </c:pt>
                <c:pt idx="1">
                  <c:v>05-07-2024</c:v>
                </c:pt>
                <c:pt idx="2">
                  <c:v>12-07-2024</c:v>
                </c:pt>
                <c:pt idx="3">
                  <c:v>19-07-2024</c:v>
                </c:pt>
                <c:pt idx="4">
                  <c:v>26-07-2024</c:v>
                </c:pt>
                <c:pt idx="5">
                  <c:v>02-08-2024</c:v>
                </c:pt>
                <c:pt idx="6">
                  <c:v>09-08-2024</c:v>
                </c:pt>
                <c:pt idx="7">
                  <c:v>16-08-2024</c:v>
                </c:pt>
                <c:pt idx="8">
                  <c:v>23-08-2024</c:v>
                </c:pt>
                <c:pt idx="9">
                  <c:v>30-08-2024</c:v>
                </c:pt>
                <c:pt idx="10">
                  <c:v>06-09-2024</c:v>
                </c:pt>
                <c:pt idx="11">
                  <c:v>13-09-2024</c:v>
                </c:pt>
                <c:pt idx="12">
                  <c:v>20-09-2024</c:v>
                </c:pt>
                <c:pt idx="13">
                  <c:v>27-09-2024</c:v>
                </c:pt>
                <c:pt idx="14">
                  <c:v>04-10-2024</c:v>
                </c:pt>
                <c:pt idx="15">
                  <c:v>11-10-2024</c:v>
                </c:pt>
                <c:pt idx="16">
                  <c:v>18-10-2024</c:v>
                </c:pt>
                <c:pt idx="17">
                  <c:v>25-10-2024</c:v>
                </c:pt>
                <c:pt idx="18">
                  <c:v>01-11-2024</c:v>
                </c:pt>
                <c:pt idx="19">
                  <c:v>08-11-2024</c:v>
                </c:pt>
                <c:pt idx="20">
                  <c:v>15-11-2024</c:v>
                </c:pt>
                <c:pt idx="21">
                  <c:v>22-11-2024</c:v>
                </c:pt>
                <c:pt idx="22">
                  <c:v>29-11-2024</c:v>
                </c:pt>
                <c:pt idx="23">
                  <c:v>06-12-2024</c:v>
                </c:pt>
                <c:pt idx="24">
                  <c:v>13-12-2024</c:v>
                </c:pt>
                <c:pt idx="25">
                  <c:v>20-12-2024</c:v>
                </c:pt>
                <c:pt idx="26">
                  <c:v>27-12-2024</c:v>
                </c:pt>
                <c:pt idx="27">
                  <c:v>03-01-2025</c:v>
                </c:pt>
                <c:pt idx="28">
                  <c:v>10-01-2025</c:v>
                </c:pt>
                <c:pt idx="29">
                  <c:v>17-01-2025</c:v>
                </c:pt>
                <c:pt idx="30">
                  <c:v>24-01-2025</c:v>
                </c:pt>
                <c:pt idx="31">
                  <c:v>31-01-2025</c:v>
                </c:pt>
                <c:pt idx="32">
                  <c:v>07-02-2025</c:v>
                </c:pt>
                <c:pt idx="33">
                  <c:v>14-02-2025</c:v>
                </c:pt>
                <c:pt idx="34">
                  <c:v>21-02-2025</c:v>
                </c:pt>
                <c:pt idx="35">
                  <c:v>28-02-2025</c:v>
                </c:pt>
                <c:pt idx="36">
                  <c:v>07-03-2025</c:v>
                </c:pt>
                <c:pt idx="37">
                  <c:v>14-03-2025</c:v>
                </c:pt>
                <c:pt idx="38">
                  <c:v>21-03-2025</c:v>
                </c:pt>
                <c:pt idx="39">
                  <c:v>28-03-2025</c:v>
                </c:pt>
                <c:pt idx="40">
                  <c:v>04-04-2025</c:v>
                </c:pt>
                <c:pt idx="41">
                  <c:v>11-04-2025</c:v>
                </c:pt>
                <c:pt idx="42">
                  <c:v>18-04-2025</c:v>
                </c:pt>
                <c:pt idx="43">
                  <c:v>25-04-2025</c:v>
                </c:pt>
                <c:pt idx="44">
                  <c:v>02-05-2025</c:v>
                </c:pt>
                <c:pt idx="45">
                  <c:v>09-05-2025</c:v>
                </c:pt>
                <c:pt idx="46">
                  <c:v>16-05-2025</c:v>
                </c:pt>
                <c:pt idx="47">
                  <c:v>23-05-2025</c:v>
                </c:pt>
                <c:pt idx="48">
                  <c:v>30-05-2025</c:v>
                </c:pt>
                <c:pt idx="49">
                  <c:v>06-06-2025</c:v>
                </c:pt>
                <c:pt idx="50">
                  <c:v>13-06-2025</c:v>
                </c:pt>
                <c:pt idx="51">
                  <c:v>20-06-2025</c:v>
                </c:pt>
                <c:pt idx="52">
                  <c:v>27-06-2025</c:v>
                </c:pt>
                <c:pt idx="53">
                  <c:v>04-07-2025</c:v>
                </c:pt>
                <c:pt idx="54">
                  <c:v>11-07-2025</c:v>
                </c:pt>
                <c:pt idx="55">
                  <c:v>18-07-2025</c:v>
                </c:pt>
                <c:pt idx="56">
                  <c:v>25-07-2025</c:v>
                </c:pt>
                <c:pt idx="57">
                  <c:v>01-08-2025</c:v>
                </c:pt>
                <c:pt idx="58">
                  <c:v>08-08-2025</c:v>
                </c:pt>
                <c:pt idx="59">
                  <c:v>15-08-2025</c:v>
                </c:pt>
                <c:pt idx="60">
                  <c:v>22-08-2025</c:v>
                </c:pt>
                <c:pt idx="61">
                  <c:v>29-08-2025</c:v>
                </c:pt>
                <c:pt idx="62">
                  <c:v>05-09-2025</c:v>
                </c:pt>
                <c:pt idx="63">
                  <c:v>12-09-2025</c:v>
                </c:pt>
                <c:pt idx="64">
                  <c:v>19-09-2025</c:v>
                </c:pt>
                <c:pt idx="65">
                  <c:v>26-09-2025</c:v>
                </c:pt>
                <c:pt idx="66">
                  <c:v>03-10-2025</c:v>
                </c:pt>
                <c:pt idx="67">
                  <c:v>10-10-2025</c:v>
                </c:pt>
                <c:pt idx="68">
                  <c:v>17-10-2025</c:v>
                </c:pt>
                <c:pt idx="69">
                  <c:v>24-10-2025</c:v>
                </c:pt>
                <c:pt idx="70">
                  <c:v>31-10-2025</c:v>
                </c:pt>
                <c:pt idx="71">
                  <c:v>07-11-2025</c:v>
                </c:pt>
                <c:pt idx="72">
                  <c:v>14-11-2025</c:v>
                </c:pt>
                <c:pt idx="73">
                  <c:v>21-11-2025</c:v>
                </c:pt>
                <c:pt idx="74">
                  <c:v>28-11-2025</c:v>
                </c:pt>
                <c:pt idx="75">
                  <c:v>05-12-2025</c:v>
                </c:pt>
                <c:pt idx="76">
                  <c:v>12-12-2025</c:v>
                </c:pt>
                <c:pt idx="77">
                  <c:v>19-12-2025</c:v>
                </c:pt>
                <c:pt idx="78">
                  <c:v>26-12-2025</c:v>
                </c:pt>
                <c:pt idx="79">
                  <c:v>02-01-2026</c:v>
                </c:pt>
                <c:pt idx="80">
                  <c:v>09-01-2026</c:v>
                </c:pt>
                <c:pt idx="81">
                  <c:v>16-01-2026</c:v>
                </c:pt>
                <c:pt idx="82">
                  <c:v>23-01-2026</c:v>
                </c:pt>
                <c:pt idx="83">
                  <c:v>30-01-2026</c:v>
                </c:pt>
                <c:pt idx="84">
                  <c:v>06-02-2026</c:v>
                </c:pt>
                <c:pt idx="85">
                  <c:v>13-02-2026</c:v>
                </c:pt>
                <c:pt idx="86">
                  <c:v>20-02-2026</c:v>
                </c:pt>
                <c:pt idx="87">
                  <c:v>27-02-2026</c:v>
                </c:pt>
                <c:pt idx="88">
                  <c:v>06-03-2026</c:v>
                </c:pt>
                <c:pt idx="89">
                  <c:v>13-03-2026</c:v>
                </c:pt>
                <c:pt idx="90">
                  <c:v>20-03-2026</c:v>
                </c:pt>
                <c:pt idx="91">
                  <c:v>27-03-2026</c:v>
                </c:pt>
                <c:pt idx="92">
                  <c:v>03-04-2026</c:v>
                </c:pt>
                <c:pt idx="93">
                  <c:v>10-04-2026</c:v>
                </c:pt>
              </c:strCache>
            </c:strRef>
          </c:cat>
          <c:val>
            <c:numRef>
              <c:f>'1. Ham Veri'!$D$2:$D$95</c:f>
              <c:numCache>
                <c:formatCode>#,##0.00</c:formatCode>
                <c:ptCount val="94"/>
                <c:pt idx="0">
                  <c:v>18980.172999999999</c:v>
                </c:pt>
                <c:pt idx="1">
                  <c:v>18890.864000000001</c:v>
                </c:pt>
                <c:pt idx="2">
                  <c:v>19453.207999999999</c:v>
                </c:pt>
                <c:pt idx="3">
                  <c:v>19684.156999999999</c:v>
                </c:pt>
                <c:pt idx="4">
                  <c:v>19391.502</c:v>
                </c:pt>
                <c:pt idx="5">
                  <c:v>19729.671999999999</c:v>
                </c:pt>
                <c:pt idx="6">
                  <c:v>20254.621999999999</c:v>
                </c:pt>
                <c:pt idx="7">
                  <c:v>20471.994999999999</c:v>
                </c:pt>
                <c:pt idx="8">
                  <c:v>20987.724999999999</c:v>
                </c:pt>
                <c:pt idx="9">
                  <c:v>21215.821</c:v>
                </c:pt>
                <c:pt idx="10">
                  <c:v>20948.108</c:v>
                </c:pt>
                <c:pt idx="11">
                  <c:v>20758.530999999999</c:v>
                </c:pt>
                <c:pt idx="12">
                  <c:v>21090.723000000002</c:v>
                </c:pt>
                <c:pt idx="13">
                  <c:v>21446.843000000001</c:v>
                </c:pt>
                <c:pt idx="14">
                  <c:v>21014.952000000001</c:v>
                </c:pt>
                <c:pt idx="15">
                  <c:v>20777.077000000001</c:v>
                </c:pt>
                <c:pt idx="16">
                  <c:v>20554.518</c:v>
                </c:pt>
                <c:pt idx="17">
                  <c:v>20540.946</c:v>
                </c:pt>
                <c:pt idx="18">
                  <c:v>20551.597000000002</c:v>
                </c:pt>
                <c:pt idx="19">
                  <c:v>20354.554</c:v>
                </c:pt>
                <c:pt idx="20">
                  <c:v>20028.008999999998</c:v>
                </c:pt>
                <c:pt idx="21">
                  <c:v>20256.07</c:v>
                </c:pt>
                <c:pt idx="22">
                  <c:v>20638.241000000002</c:v>
                </c:pt>
                <c:pt idx="23">
                  <c:v>20428.172999999999</c:v>
                </c:pt>
                <c:pt idx="24">
                  <c:v>20508.062999999998</c:v>
                </c:pt>
                <c:pt idx="25">
                  <c:v>20370.823</c:v>
                </c:pt>
                <c:pt idx="26">
                  <c:v>20670.763999999999</c:v>
                </c:pt>
                <c:pt idx="27">
                  <c:v>20527.055</c:v>
                </c:pt>
                <c:pt idx="28">
                  <c:v>20373.821</c:v>
                </c:pt>
                <c:pt idx="29">
                  <c:v>20332.667000000001</c:v>
                </c:pt>
                <c:pt idx="30">
                  <c:v>20464.237000000001</c:v>
                </c:pt>
                <c:pt idx="31">
                  <c:v>20265.183000000001</c:v>
                </c:pt>
                <c:pt idx="32">
                  <c:v>20235.516</c:v>
                </c:pt>
                <c:pt idx="33">
                  <c:v>20474.165000000001</c:v>
                </c:pt>
                <c:pt idx="34">
                  <c:v>20392.412</c:v>
                </c:pt>
                <c:pt idx="35">
                  <c:v>20346.325000000001</c:v>
                </c:pt>
                <c:pt idx="36">
                  <c:v>20792.68</c:v>
                </c:pt>
                <c:pt idx="37">
                  <c:v>21214.43</c:v>
                </c:pt>
                <c:pt idx="38">
                  <c:v>22143.587</c:v>
                </c:pt>
                <c:pt idx="39">
                  <c:v>22302.911</c:v>
                </c:pt>
                <c:pt idx="40">
                  <c:v>22575.941999999999</c:v>
                </c:pt>
                <c:pt idx="41">
                  <c:v>22440.428</c:v>
                </c:pt>
                <c:pt idx="42">
                  <c:v>25951.612000000001</c:v>
                </c:pt>
                <c:pt idx="43">
                  <c:v>26157.109</c:v>
                </c:pt>
                <c:pt idx="44">
                  <c:v>26816.216</c:v>
                </c:pt>
                <c:pt idx="45">
                  <c:v>26589.690999999999</c:v>
                </c:pt>
                <c:pt idx="46">
                  <c:v>26360.831999999999</c:v>
                </c:pt>
                <c:pt idx="47">
                  <c:v>26525.722000000002</c:v>
                </c:pt>
                <c:pt idx="48">
                  <c:v>26812.657999999999</c:v>
                </c:pt>
                <c:pt idx="49">
                  <c:v>26998.871999999999</c:v>
                </c:pt>
                <c:pt idx="50">
                  <c:v>28498.569</c:v>
                </c:pt>
                <c:pt idx="51">
                  <c:v>28675.887999999999</c:v>
                </c:pt>
                <c:pt idx="52">
                  <c:v>29724.385999999999</c:v>
                </c:pt>
                <c:pt idx="53">
                  <c:v>31341.581999999999</c:v>
                </c:pt>
                <c:pt idx="54">
                  <c:v>31445.323</c:v>
                </c:pt>
                <c:pt idx="55">
                  <c:v>31137.757000000001</c:v>
                </c:pt>
                <c:pt idx="56">
                  <c:v>31363.886999999999</c:v>
                </c:pt>
                <c:pt idx="57">
                  <c:v>30700.915000000001</c:v>
                </c:pt>
                <c:pt idx="58">
                  <c:v>31490.715</c:v>
                </c:pt>
                <c:pt idx="59">
                  <c:v>31487.027999999998</c:v>
                </c:pt>
                <c:pt idx="60">
                  <c:v>31320.234</c:v>
                </c:pt>
                <c:pt idx="61">
                  <c:v>31125.172999999999</c:v>
                </c:pt>
                <c:pt idx="62">
                  <c:v>30983.348000000002</c:v>
                </c:pt>
                <c:pt idx="63">
                  <c:v>31098.434000000001</c:v>
                </c:pt>
                <c:pt idx="64">
                  <c:v>31223.314999999999</c:v>
                </c:pt>
                <c:pt idx="65">
                  <c:v>31131.014999999999</c:v>
                </c:pt>
                <c:pt idx="66">
                  <c:v>31537.868999999999</c:v>
                </c:pt>
                <c:pt idx="67">
                  <c:v>31550.445</c:v>
                </c:pt>
                <c:pt idx="68">
                  <c:v>31633.403999999999</c:v>
                </c:pt>
                <c:pt idx="69">
                  <c:v>31577.018</c:v>
                </c:pt>
                <c:pt idx="70">
                  <c:v>31234.329000000002</c:v>
                </c:pt>
                <c:pt idx="71">
                  <c:v>31207.102999999999</c:v>
                </c:pt>
                <c:pt idx="72">
                  <c:v>31421.667000000001</c:v>
                </c:pt>
                <c:pt idx="73">
                  <c:v>31226.720000000001</c:v>
                </c:pt>
                <c:pt idx="74">
                  <c:v>32349.381000000001</c:v>
                </c:pt>
                <c:pt idx="75">
                  <c:v>32569.050999999999</c:v>
                </c:pt>
                <c:pt idx="76">
                  <c:v>32752.326000000001</c:v>
                </c:pt>
                <c:pt idx="77">
                  <c:v>32703.749</c:v>
                </c:pt>
                <c:pt idx="78">
                  <c:v>32948.764000000003</c:v>
                </c:pt>
                <c:pt idx="79">
                  <c:v>33925.718999999997</c:v>
                </c:pt>
                <c:pt idx="80">
                  <c:v>33917.652999999998</c:v>
                </c:pt>
                <c:pt idx="81">
                  <c:v>33892.273000000001</c:v>
                </c:pt>
                <c:pt idx="82">
                  <c:v>33672.548999999999</c:v>
                </c:pt>
                <c:pt idx="83">
                  <c:v>34074.813999999998</c:v>
                </c:pt>
                <c:pt idx="84">
                  <c:v>33525.934000000001</c:v>
                </c:pt>
                <c:pt idx="85">
                  <c:v>33644.294999999998</c:v>
                </c:pt>
                <c:pt idx="86">
                  <c:v>33327.357000000004</c:v>
                </c:pt>
                <c:pt idx="87">
                  <c:v>33903.161999999997</c:v>
                </c:pt>
                <c:pt idx="88">
                  <c:v>33327.178999999996</c:v>
                </c:pt>
                <c:pt idx="89">
                  <c:v>33146.413</c:v>
                </c:pt>
                <c:pt idx="90">
                  <c:v>32935.319000000003</c:v>
                </c:pt>
                <c:pt idx="91">
                  <c:v>33792.432000000001</c:v>
                </c:pt>
                <c:pt idx="92">
                  <c:v>35057.953999999998</c:v>
                </c:pt>
                <c:pt idx="93">
                  <c:v>35454.923000000003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1B-B141-806C-CBED47631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8328384"/>
        <c:axId val="366513216"/>
      </c:lineChart>
      <c:catAx>
        <c:axId val="53832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66513216"/>
        <c:crosses val="autoZero"/>
        <c:auto val="1"/>
        <c:lblAlgn val="ctr"/>
        <c:lblOffset val="100"/>
        <c:noMultiLvlLbl val="0"/>
      </c:catAx>
      <c:valAx>
        <c:axId val="36651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3832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234950</xdr:colOff>
      <xdr:row>2</xdr:row>
      <xdr:rowOff>76200</xdr:rowOff>
    </xdr:from>
    <xdr:to>
      <xdr:col>12</xdr:col>
      <xdr:colOff>679450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18D43-6796-1EE7-CD1C-EDEB2C6CF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603250</xdr:colOff>
      <xdr:row>5</xdr:row>
      <xdr:rowOff>12700</xdr:rowOff>
    </xdr:from>
    <xdr:to>
      <xdr:col>12</xdr:col>
      <xdr:colOff>222250</xdr:colOff>
      <xdr:row>19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C2F5F2-0B3D-B17E-F4F5-C85CB71C9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692150</xdr:colOff>
      <xdr:row>1</xdr:row>
      <xdr:rowOff>165100</xdr:rowOff>
    </xdr:from>
    <xdr:to>
      <xdr:col>11</xdr:col>
      <xdr:colOff>565150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DACAAD-E5D2-D137-2BE0-886B1EE3F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742950</xdr:colOff>
      <xdr:row>21</xdr:row>
      <xdr:rowOff>25400</xdr:rowOff>
    </xdr:from>
    <xdr:to>
      <xdr:col>11</xdr:col>
      <xdr:colOff>361950</xdr:colOff>
      <xdr:row>35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4662D7-D91F-E296-65DF-8A1385730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285750</xdr:colOff>
      <xdr:row>19</xdr:row>
      <xdr:rowOff>50800</xdr:rowOff>
    </xdr:from>
    <xdr:ext cx="65" cy="17209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CA7B80-137C-1C19-8873-40E791B27F87}"/>
            </a:ext>
          </a:extLst>
        </xdr:cNvPr>
        <xdr:cNvSpPr txBox="1"/>
      </xdr:nvSpPr>
      <xdr:spPr>
        <a:xfrm>
          <a:off x="8540750" y="36703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857119-50CF-0F43-8059-AA6B1938FC60}">
  <we:reference id="wa200005502" version="1.0.0.12" store="tr-T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29BB-4C1C-644C-BDD3-6BA2DEBF16E7}">
  <dimension ref="A1:E29"/>
  <sheetViews>
    <sheetView showGridLines="0" workbookViewId="0">
      <selection activeCell="M17" sqref="M17"/>
    </sheetView>
  </sheetViews>
  <sheetFormatPr baseColWidth="10" defaultRowHeight="15" x14ac:dyDescent="0.2"/>
  <sheetData>
    <row r="1" spans="1:5" x14ac:dyDescent="0.2">
      <c r="A1" t="s">
        <v>147</v>
      </c>
    </row>
    <row r="2" spans="1:5" x14ac:dyDescent="0.2">
      <c r="A2" t="s">
        <v>148</v>
      </c>
    </row>
    <row r="4" spans="1:5" x14ac:dyDescent="0.2">
      <c r="A4" t="s">
        <v>149</v>
      </c>
    </row>
    <row r="5" spans="1:5" x14ac:dyDescent="0.2">
      <c r="A5" t="s">
        <v>150</v>
      </c>
      <c r="D5" s="5">
        <f>'2. İstatistikler'!B10</f>
        <v>117010.90300000001</v>
      </c>
    </row>
    <row r="6" spans="1:5" x14ac:dyDescent="0.2">
      <c r="A6" t="s">
        <v>151</v>
      </c>
      <c r="D6" s="5">
        <f>'2. İstatistikler'!B11</f>
        <v>278734.33399999997</v>
      </c>
    </row>
    <row r="7" spans="1:5" x14ac:dyDescent="0.2">
      <c r="A7" t="s">
        <v>152</v>
      </c>
      <c r="D7" s="5">
        <f>'3. Büyüme Analizi'!B7</f>
        <v>138.21227497064953</v>
      </c>
    </row>
    <row r="8" spans="1:5" x14ac:dyDescent="0.2">
      <c r="A8" t="s">
        <v>153</v>
      </c>
      <c r="D8" s="5">
        <f>'3. Büyüme Analizi'!B8</f>
        <v>0.94795726241891887</v>
      </c>
    </row>
    <row r="9" spans="1:5" x14ac:dyDescent="0.2">
      <c r="A9" t="s">
        <v>154</v>
      </c>
      <c r="D9" s="5">
        <f>'2. İstatistikler'!B7</f>
        <v>185450.88565957447</v>
      </c>
    </row>
    <row r="11" spans="1:5" x14ac:dyDescent="0.2">
      <c r="A11" t="s">
        <v>155</v>
      </c>
      <c r="D11" s="8" t="s">
        <v>95</v>
      </c>
      <c r="E11" s="8" t="s">
        <v>96</v>
      </c>
    </row>
    <row r="12" spans="1:5" x14ac:dyDescent="0.2">
      <c r="A12" t="s">
        <v>156</v>
      </c>
      <c r="D12" s="5">
        <f>'5. TL-YP Analizi'!B10</f>
        <v>83.77914150444596</v>
      </c>
      <c r="E12" s="5">
        <f>'5. TL-YP Analizi'!C10</f>
        <v>16.22085849555404</v>
      </c>
    </row>
    <row r="13" spans="1:5" x14ac:dyDescent="0.2">
      <c r="A13" t="s">
        <v>157</v>
      </c>
      <c r="D13" s="5">
        <f>'5. TL-YP Analizi'!B11</f>
        <v>87.280030238398993</v>
      </c>
      <c r="E13" s="5">
        <f>'5. TL-YP Analizi'!C11</f>
        <v>12.719969761601025</v>
      </c>
    </row>
    <row r="14" spans="1:5" x14ac:dyDescent="0.2">
      <c r="A14" t="s">
        <v>158</v>
      </c>
      <c r="D14" s="5">
        <f>'5. TL-YP Analizi'!B12</f>
        <v>85.390351042767278</v>
      </c>
      <c r="E14" s="5">
        <f>'5. TL-YP Analizi'!C12</f>
        <v>14.609648957232714</v>
      </c>
    </row>
    <row r="15" spans="1:5" x14ac:dyDescent="0.2">
      <c r="A15" t="s">
        <v>159</v>
      </c>
      <c r="D15" s="5">
        <f>'5. TL-YP Analizi'!B15</f>
        <v>3.5008887339530332</v>
      </c>
      <c r="E15" s="5">
        <f>'5. TL-YP Analizi'!C15</f>
        <v>-3.5008887339530155</v>
      </c>
    </row>
    <row r="16" spans="1:5" x14ac:dyDescent="0.2">
      <c r="A16" t="s">
        <v>160</v>
      </c>
      <c r="D16">
        <f>'5. TL-YP Analizi'!D5</f>
        <v>0.91775034371780817</v>
      </c>
    </row>
    <row r="18" spans="1:1" x14ac:dyDescent="0.2">
      <c r="A18" t="s">
        <v>161</v>
      </c>
    </row>
    <row r="19" spans="1:1" x14ac:dyDescent="0.2">
      <c r="A19" t="s">
        <v>162</v>
      </c>
    </row>
    <row r="20" spans="1:1" x14ac:dyDescent="0.2">
      <c r="A20" t="s">
        <v>163</v>
      </c>
    </row>
    <row r="21" spans="1:1" x14ac:dyDescent="0.2">
      <c r="A21" t="s">
        <v>164</v>
      </c>
    </row>
    <row r="22" spans="1:1" x14ac:dyDescent="0.2">
      <c r="A22" t="s">
        <v>165</v>
      </c>
    </row>
    <row r="24" spans="1:1" x14ac:dyDescent="0.2">
      <c r="A24" t="s">
        <v>166</v>
      </c>
    </row>
    <row r="25" spans="1:1" x14ac:dyDescent="0.2">
      <c r="A25" t="s">
        <v>167</v>
      </c>
    </row>
    <row r="26" spans="1:1" x14ac:dyDescent="0.2">
      <c r="A26" t="s">
        <v>168</v>
      </c>
    </row>
    <row r="27" spans="1:1" x14ac:dyDescent="0.2">
      <c r="A27" t="s">
        <v>169</v>
      </c>
    </row>
    <row r="28" spans="1:1" x14ac:dyDescent="0.2">
      <c r="A28" t="s">
        <v>170</v>
      </c>
    </row>
    <row r="29" spans="1:1" x14ac:dyDescent="0.2">
      <c r="A29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8601-2E14-D640-AFA5-CB1401296F2E}">
  <dimension ref="A1:I145"/>
  <sheetViews>
    <sheetView showGridLines="0" workbookViewId="0">
      <selection activeCell="G3" sqref="G3"/>
    </sheetView>
  </sheetViews>
  <sheetFormatPr baseColWidth="10" defaultRowHeight="15" x14ac:dyDescent="0.2"/>
  <cols>
    <col min="7" max="7" width="16" bestFit="1" customWidth="1"/>
    <col min="8" max="8" width="9" bestFit="1" customWidth="1"/>
    <col min="9" max="9" width="9.33203125" bestFit="1" customWidth="1"/>
  </cols>
  <sheetData>
    <row r="1" spans="1:9" x14ac:dyDescent="0.2">
      <c r="A1" s="1" t="s">
        <v>0</v>
      </c>
      <c r="B1" s="1" t="s">
        <v>97</v>
      </c>
      <c r="C1" s="1" t="s">
        <v>95</v>
      </c>
      <c r="D1" s="1" t="s">
        <v>96</v>
      </c>
      <c r="E1" s="1" t="s">
        <v>100</v>
      </c>
      <c r="F1" s="1" t="s">
        <v>101</v>
      </c>
      <c r="G1" s="1" t="s">
        <v>98</v>
      </c>
      <c r="H1" s="1" t="s">
        <v>102</v>
      </c>
      <c r="I1" s="1" t="s">
        <v>99</v>
      </c>
    </row>
    <row r="2" spans="1:9" x14ac:dyDescent="0.2">
      <c r="A2" s="1" t="s">
        <v>1</v>
      </c>
      <c r="B2" s="6">
        <v>117010.90300000001</v>
      </c>
      <c r="C2" s="6">
        <v>98030.73</v>
      </c>
      <c r="D2" s="6">
        <v>18980.172999999999</v>
      </c>
      <c r="E2" s="1">
        <f>YEAR(A2)</f>
        <v>2024</v>
      </c>
      <c r="F2" s="1">
        <f>MONTH(A2)</f>
        <v>6</v>
      </c>
      <c r="G2" s="1"/>
      <c r="H2" s="1">
        <f>C2/B2*100</f>
        <v>83.77914150444596</v>
      </c>
      <c r="I2" s="1">
        <f>D2/B2*100</f>
        <v>16.22085849555404</v>
      </c>
    </row>
    <row r="3" spans="1:9" x14ac:dyDescent="0.2">
      <c r="A3" s="1" t="s">
        <v>2</v>
      </c>
      <c r="B3" s="6">
        <v>114932.29300000001</v>
      </c>
      <c r="C3" s="6">
        <v>96041.429000000004</v>
      </c>
      <c r="D3" s="6">
        <v>18890.864000000001</v>
      </c>
      <c r="E3" s="1">
        <f t="shared" ref="E3:E66" si="0">YEAR(A3)</f>
        <v>2024</v>
      </c>
      <c r="F3" s="1">
        <f t="shared" ref="F3:F66" si="1">MONTH(A3)</f>
        <v>7</v>
      </c>
      <c r="G3" s="1">
        <f>(B3-B2)/B2*100</f>
        <v>-1.7764242021104653</v>
      </c>
      <c r="H3" s="1">
        <f t="shared" ref="H3:H66" si="2">C3/B3*100</f>
        <v>83.563484633513752</v>
      </c>
      <c r="I3" s="1">
        <f t="shared" ref="I3:I66" si="3">D3/B3*100</f>
        <v>16.436515366486251</v>
      </c>
    </row>
    <row r="4" spans="1:9" x14ac:dyDescent="0.2">
      <c r="A4" s="1" t="s">
        <v>3</v>
      </c>
      <c r="B4" s="6">
        <v>115625.71</v>
      </c>
      <c r="C4" s="6">
        <v>96172.501999999993</v>
      </c>
      <c r="D4" s="6">
        <v>19453.207999999999</v>
      </c>
      <c r="E4" s="1">
        <f t="shared" si="0"/>
        <v>2024</v>
      </c>
      <c r="F4" s="1">
        <f t="shared" si="1"/>
        <v>7</v>
      </c>
      <c r="G4" s="1">
        <f t="shared" ref="G4:G67" si="4">(B4-B3)/B3*100</f>
        <v>0.60332651676931326</v>
      </c>
      <c r="H4" s="1">
        <f t="shared" si="2"/>
        <v>83.175707202143869</v>
      </c>
      <c r="I4" s="1">
        <f t="shared" si="3"/>
        <v>16.824292797856113</v>
      </c>
    </row>
    <row r="5" spans="1:9" x14ac:dyDescent="0.2">
      <c r="A5" s="1" t="s">
        <v>4</v>
      </c>
      <c r="B5" s="6">
        <v>116662.355</v>
      </c>
      <c r="C5" s="6">
        <v>96978.198000000004</v>
      </c>
      <c r="D5" s="6">
        <v>19684.156999999999</v>
      </c>
      <c r="E5" s="1">
        <f t="shared" si="0"/>
        <v>2024</v>
      </c>
      <c r="F5" s="1">
        <f t="shared" si="1"/>
        <v>7</v>
      </c>
      <c r="G5" s="1">
        <f t="shared" si="4"/>
        <v>0.89655233252188404</v>
      </c>
      <c r="H5" s="1">
        <f t="shared" si="2"/>
        <v>83.127241859638445</v>
      </c>
      <c r="I5" s="1">
        <f t="shared" si="3"/>
        <v>16.872758140361562</v>
      </c>
    </row>
    <row r="6" spans="1:9" x14ac:dyDescent="0.2">
      <c r="A6" s="1" t="s">
        <v>5</v>
      </c>
      <c r="B6" s="6">
        <v>119109.58500000001</v>
      </c>
      <c r="C6" s="6">
        <v>99718.082999999999</v>
      </c>
      <c r="D6" s="6">
        <v>19391.502</v>
      </c>
      <c r="E6" s="1">
        <f t="shared" si="0"/>
        <v>2024</v>
      </c>
      <c r="F6" s="1">
        <f t="shared" si="1"/>
        <v>7</v>
      </c>
      <c r="G6" s="1">
        <f t="shared" si="4"/>
        <v>2.097703239404014</v>
      </c>
      <c r="H6" s="1">
        <f t="shared" si="2"/>
        <v>83.719612489624566</v>
      </c>
      <c r="I6" s="1">
        <f t="shared" si="3"/>
        <v>16.280387510375423</v>
      </c>
    </row>
    <row r="7" spans="1:9" x14ac:dyDescent="0.2">
      <c r="A7" s="1" t="s">
        <v>6</v>
      </c>
      <c r="B7" s="6">
        <v>120109.58500000001</v>
      </c>
      <c r="C7" s="6">
        <v>100379.913</v>
      </c>
      <c r="D7" s="6">
        <v>19729.671999999999</v>
      </c>
      <c r="E7" s="1">
        <f t="shared" si="0"/>
        <v>2024</v>
      </c>
      <c r="F7" s="1">
        <f t="shared" si="1"/>
        <v>8</v>
      </c>
      <c r="G7" s="1">
        <f t="shared" si="4"/>
        <v>0.83956299570685267</v>
      </c>
      <c r="H7" s="1">
        <f t="shared" si="2"/>
        <v>83.573607385289023</v>
      </c>
      <c r="I7" s="1">
        <f t="shared" si="3"/>
        <v>16.42639261471097</v>
      </c>
    </row>
    <row r="8" spans="1:9" x14ac:dyDescent="0.2">
      <c r="A8" s="1" t="s">
        <v>7</v>
      </c>
      <c r="B8" s="6">
        <v>120407.133</v>
      </c>
      <c r="C8" s="6">
        <v>100152.511</v>
      </c>
      <c r="D8" s="6">
        <v>20254.621999999999</v>
      </c>
      <c r="E8" s="1">
        <f t="shared" si="0"/>
        <v>2024</v>
      </c>
      <c r="F8" s="1">
        <f t="shared" si="1"/>
        <v>8</v>
      </c>
      <c r="G8" s="1">
        <f t="shared" si="4"/>
        <v>0.24773043716702145</v>
      </c>
      <c r="H8" s="1">
        <f t="shared" si="2"/>
        <v>83.178220845105571</v>
      </c>
      <c r="I8" s="1">
        <f t="shared" si="3"/>
        <v>16.821779154894418</v>
      </c>
    </row>
    <row r="9" spans="1:9" x14ac:dyDescent="0.2">
      <c r="A9" s="1" t="s">
        <v>8</v>
      </c>
      <c r="B9" s="6">
        <v>120243.95699999999</v>
      </c>
      <c r="C9" s="6">
        <v>99771.962</v>
      </c>
      <c r="D9" s="6">
        <v>20471.994999999999</v>
      </c>
      <c r="E9" s="1">
        <f t="shared" si="0"/>
        <v>2024</v>
      </c>
      <c r="F9" s="1">
        <f t="shared" si="1"/>
        <v>8</v>
      </c>
      <c r="G9" s="1">
        <f t="shared" si="4"/>
        <v>-0.13552021041810433</v>
      </c>
      <c r="H9" s="1">
        <f t="shared" si="2"/>
        <v>82.974616346000658</v>
      </c>
      <c r="I9" s="1">
        <f t="shared" si="3"/>
        <v>17.025383653999342</v>
      </c>
    </row>
    <row r="10" spans="1:9" x14ac:dyDescent="0.2">
      <c r="A10" s="1" t="s">
        <v>9</v>
      </c>
      <c r="B10" s="6">
        <v>121657.73699999999</v>
      </c>
      <c r="C10" s="6">
        <v>100670.012</v>
      </c>
      <c r="D10" s="6">
        <v>20987.724999999999</v>
      </c>
      <c r="E10" s="1">
        <f t="shared" si="0"/>
        <v>2024</v>
      </c>
      <c r="F10" s="1">
        <f t="shared" si="1"/>
        <v>8</v>
      </c>
      <c r="G10" s="1">
        <f t="shared" si="4"/>
        <v>1.1757597099037576</v>
      </c>
      <c r="H10" s="1">
        <f t="shared" si="2"/>
        <v>82.748548906511402</v>
      </c>
      <c r="I10" s="1">
        <f t="shared" si="3"/>
        <v>17.251451093488612</v>
      </c>
    </row>
    <row r="11" spans="1:9" x14ac:dyDescent="0.2">
      <c r="A11" s="1" t="s">
        <v>10</v>
      </c>
      <c r="B11" s="6">
        <v>125053.042</v>
      </c>
      <c r="C11" s="6">
        <v>103837.22100000001</v>
      </c>
      <c r="D11" s="6">
        <v>21215.821</v>
      </c>
      <c r="E11" s="1">
        <f t="shared" si="0"/>
        <v>2024</v>
      </c>
      <c r="F11" s="1">
        <f t="shared" si="1"/>
        <v>8</v>
      </c>
      <c r="G11" s="1">
        <f t="shared" si="4"/>
        <v>2.7908664781426995</v>
      </c>
      <c r="H11" s="1">
        <f t="shared" si="2"/>
        <v>83.034542254477913</v>
      </c>
      <c r="I11" s="1">
        <f t="shared" si="3"/>
        <v>16.965457745522095</v>
      </c>
    </row>
    <row r="12" spans="1:9" x14ac:dyDescent="0.2">
      <c r="A12" s="1" t="s">
        <v>11</v>
      </c>
      <c r="B12" s="6">
        <v>123406.049</v>
      </c>
      <c r="C12" s="6">
        <v>102457.94100000001</v>
      </c>
      <c r="D12" s="6">
        <v>20948.108</v>
      </c>
      <c r="E12" s="1">
        <f t="shared" si="0"/>
        <v>2024</v>
      </c>
      <c r="F12" s="1">
        <f t="shared" si="1"/>
        <v>9</v>
      </c>
      <c r="G12" s="1">
        <f t="shared" si="4"/>
        <v>-1.3170355344094726</v>
      </c>
      <c r="H12" s="1">
        <f t="shared" si="2"/>
        <v>83.025055765297225</v>
      </c>
      <c r="I12" s="1">
        <f t="shared" si="3"/>
        <v>16.974944234702789</v>
      </c>
    </row>
    <row r="13" spans="1:9" x14ac:dyDescent="0.2">
      <c r="A13" s="1" t="s">
        <v>12</v>
      </c>
      <c r="B13" s="6">
        <v>123318.524</v>
      </c>
      <c r="C13" s="6">
        <v>102559.993</v>
      </c>
      <c r="D13" s="6">
        <v>20758.530999999999</v>
      </c>
      <c r="E13" s="1">
        <f t="shared" si="0"/>
        <v>2024</v>
      </c>
      <c r="F13" s="1">
        <f t="shared" si="1"/>
        <v>9</v>
      </c>
      <c r="G13" s="1">
        <f t="shared" si="4"/>
        <v>-7.0924400148321881E-2</v>
      </c>
      <c r="H13" s="1">
        <f t="shared" si="2"/>
        <v>83.166737383266124</v>
      </c>
      <c r="I13" s="1">
        <f t="shared" si="3"/>
        <v>16.833262616733879</v>
      </c>
    </row>
    <row r="14" spans="1:9" x14ac:dyDescent="0.2">
      <c r="A14" s="1" t="s">
        <v>13</v>
      </c>
      <c r="B14" s="6">
        <v>124025.603</v>
      </c>
      <c r="C14" s="6">
        <v>102934.88</v>
      </c>
      <c r="D14" s="6">
        <v>21090.723000000002</v>
      </c>
      <c r="E14" s="1">
        <f t="shared" si="0"/>
        <v>2024</v>
      </c>
      <c r="F14" s="1">
        <f t="shared" si="1"/>
        <v>9</v>
      </c>
      <c r="G14" s="1">
        <f t="shared" si="4"/>
        <v>0.57337614582542185</v>
      </c>
      <c r="H14" s="1">
        <f t="shared" si="2"/>
        <v>82.994863568613326</v>
      </c>
      <c r="I14" s="1">
        <f t="shared" si="3"/>
        <v>17.005136431386671</v>
      </c>
    </row>
    <row r="15" spans="1:9" x14ac:dyDescent="0.2">
      <c r="A15" s="1" t="s">
        <v>14</v>
      </c>
      <c r="B15" s="6">
        <v>126552.784</v>
      </c>
      <c r="C15" s="6">
        <v>105105.94100000001</v>
      </c>
      <c r="D15" s="6">
        <v>21446.843000000001</v>
      </c>
      <c r="E15" s="1">
        <f t="shared" si="0"/>
        <v>2024</v>
      </c>
      <c r="F15" s="1">
        <f t="shared" si="1"/>
        <v>9</v>
      </c>
      <c r="G15" s="1">
        <f t="shared" si="4"/>
        <v>2.0376284725662623</v>
      </c>
      <c r="H15" s="1">
        <f t="shared" si="2"/>
        <v>83.053045281089993</v>
      </c>
      <c r="I15" s="1">
        <f t="shared" si="3"/>
        <v>16.946954718910018</v>
      </c>
    </row>
    <row r="16" spans="1:9" x14ac:dyDescent="0.2">
      <c r="A16" s="1" t="s">
        <v>15</v>
      </c>
      <c r="B16" s="6">
        <v>127549.504</v>
      </c>
      <c r="C16" s="6">
        <v>106534.552</v>
      </c>
      <c r="D16" s="6">
        <v>21014.952000000001</v>
      </c>
      <c r="E16" s="1">
        <f t="shared" si="0"/>
        <v>2024</v>
      </c>
      <c r="F16" s="1">
        <f t="shared" si="1"/>
        <v>10</v>
      </c>
      <c r="G16" s="1">
        <f t="shared" si="4"/>
        <v>0.78759231404976537</v>
      </c>
      <c r="H16" s="1">
        <f t="shared" si="2"/>
        <v>83.524081755739317</v>
      </c>
      <c r="I16" s="1">
        <f t="shared" si="3"/>
        <v>16.475918244260676</v>
      </c>
    </row>
    <row r="17" spans="1:9" x14ac:dyDescent="0.2">
      <c r="A17" s="1" t="s">
        <v>16</v>
      </c>
      <c r="B17" s="6">
        <v>128148.689</v>
      </c>
      <c r="C17" s="6">
        <v>107371.61199999999</v>
      </c>
      <c r="D17" s="6">
        <v>20777.077000000001</v>
      </c>
      <c r="E17" s="1">
        <f t="shared" si="0"/>
        <v>2024</v>
      </c>
      <c r="F17" s="1">
        <f t="shared" si="1"/>
        <v>10</v>
      </c>
      <c r="G17" s="1">
        <f t="shared" si="4"/>
        <v>0.46976662488628546</v>
      </c>
      <c r="H17" s="1">
        <f t="shared" si="2"/>
        <v>83.786742445722567</v>
      </c>
      <c r="I17" s="1">
        <f t="shared" si="3"/>
        <v>16.213257554277437</v>
      </c>
    </row>
    <row r="18" spans="1:9" x14ac:dyDescent="0.2">
      <c r="A18" s="1" t="s">
        <v>17</v>
      </c>
      <c r="B18" s="6">
        <v>128475.054</v>
      </c>
      <c r="C18" s="6">
        <v>107920.53599999999</v>
      </c>
      <c r="D18" s="6">
        <v>20554.518</v>
      </c>
      <c r="E18" s="1">
        <f t="shared" si="0"/>
        <v>2024</v>
      </c>
      <c r="F18" s="1">
        <f t="shared" si="1"/>
        <v>10</v>
      </c>
      <c r="G18" s="1">
        <f t="shared" si="4"/>
        <v>0.25467681530476305</v>
      </c>
      <c r="H18" s="1">
        <f t="shared" si="2"/>
        <v>84.001160256371634</v>
      </c>
      <c r="I18" s="1">
        <f t="shared" si="3"/>
        <v>15.998839743628363</v>
      </c>
    </row>
    <row r="19" spans="1:9" x14ac:dyDescent="0.2">
      <c r="A19" s="1" t="s">
        <v>18</v>
      </c>
      <c r="B19" s="6">
        <v>129411.024</v>
      </c>
      <c r="C19" s="6">
        <v>108870.07799999999</v>
      </c>
      <c r="D19" s="6">
        <v>20540.946</v>
      </c>
      <c r="E19" s="1">
        <f t="shared" si="0"/>
        <v>2024</v>
      </c>
      <c r="F19" s="1">
        <f t="shared" si="1"/>
        <v>10</v>
      </c>
      <c r="G19" s="1">
        <f t="shared" si="4"/>
        <v>0.72852275275167522</v>
      </c>
      <c r="H19" s="1">
        <f t="shared" si="2"/>
        <v>84.127359968962139</v>
      </c>
      <c r="I19" s="1">
        <f t="shared" si="3"/>
        <v>15.872640031037848</v>
      </c>
    </row>
    <row r="20" spans="1:9" x14ac:dyDescent="0.2">
      <c r="A20" s="1" t="s">
        <v>19</v>
      </c>
      <c r="B20" s="6">
        <v>130886.51700000001</v>
      </c>
      <c r="C20" s="6">
        <v>110334.92</v>
      </c>
      <c r="D20" s="6">
        <v>20551.597000000002</v>
      </c>
      <c r="E20" s="1">
        <f t="shared" si="0"/>
        <v>2024</v>
      </c>
      <c r="F20" s="1">
        <f t="shared" si="1"/>
        <v>11</v>
      </c>
      <c r="G20" s="1">
        <f t="shared" si="4"/>
        <v>1.1401602076806086</v>
      </c>
      <c r="H20" s="1">
        <f t="shared" si="2"/>
        <v>84.298155783303471</v>
      </c>
      <c r="I20" s="1">
        <f t="shared" si="3"/>
        <v>15.701844216696514</v>
      </c>
    </row>
    <row r="21" spans="1:9" x14ac:dyDescent="0.2">
      <c r="A21" s="1" t="s">
        <v>20</v>
      </c>
      <c r="B21" s="6">
        <v>130500.863</v>
      </c>
      <c r="C21" s="6">
        <v>110146.30899999999</v>
      </c>
      <c r="D21" s="6">
        <v>20354.554</v>
      </c>
      <c r="E21" s="1">
        <f t="shared" si="0"/>
        <v>2024</v>
      </c>
      <c r="F21" s="1">
        <f t="shared" si="1"/>
        <v>11</v>
      </c>
      <c r="G21" s="1">
        <f t="shared" si="4"/>
        <v>-0.29464761446743176</v>
      </c>
      <c r="H21" s="1">
        <f t="shared" si="2"/>
        <v>84.402743758100655</v>
      </c>
      <c r="I21" s="1">
        <f t="shared" si="3"/>
        <v>15.597256241899334</v>
      </c>
    </row>
    <row r="22" spans="1:9" x14ac:dyDescent="0.2">
      <c r="A22" s="1" t="s">
        <v>21</v>
      </c>
      <c r="B22" s="6">
        <v>132583.986</v>
      </c>
      <c r="C22" s="6">
        <v>112555.977</v>
      </c>
      <c r="D22" s="6">
        <v>20028.008999999998</v>
      </c>
      <c r="E22" s="1">
        <f t="shared" si="0"/>
        <v>2024</v>
      </c>
      <c r="F22" s="1">
        <f t="shared" si="1"/>
        <v>11</v>
      </c>
      <c r="G22" s="1">
        <f t="shared" si="4"/>
        <v>1.5962522791899136</v>
      </c>
      <c r="H22" s="1">
        <f t="shared" si="2"/>
        <v>84.894096486132185</v>
      </c>
      <c r="I22" s="1">
        <f t="shared" si="3"/>
        <v>15.105903513867805</v>
      </c>
    </row>
    <row r="23" spans="1:9" x14ac:dyDescent="0.2">
      <c r="A23" s="1" t="s">
        <v>22</v>
      </c>
      <c r="B23" s="6">
        <v>133275.522</v>
      </c>
      <c r="C23" s="6">
        <v>113019.452</v>
      </c>
      <c r="D23" s="6">
        <v>20256.07</v>
      </c>
      <c r="E23" s="1">
        <f t="shared" si="0"/>
        <v>2024</v>
      </c>
      <c r="F23" s="1">
        <f t="shared" si="1"/>
        <v>11</v>
      </c>
      <c r="G23" s="1">
        <f t="shared" si="4"/>
        <v>0.52158335321129412</v>
      </c>
      <c r="H23" s="1">
        <f t="shared" si="2"/>
        <v>84.801357596633537</v>
      </c>
      <c r="I23" s="1">
        <f t="shared" si="3"/>
        <v>15.198642403366463</v>
      </c>
    </row>
    <row r="24" spans="1:9" x14ac:dyDescent="0.2">
      <c r="A24" s="1" t="s">
        <v>23</v>
      </c>
      <c r="B24" s="6">
        <v>138320.098</v>
      </c>
      <c r="C24" s="6">
        <v>117681.857</v>
      </c>
      <c r="D24" s="6">
        <v>20638.241000000002</v>
      </c>
      <c r="E24" s="1">
        <f t="shared" si="0"/>
        <v>2024</v>
      </c>
      <c r="F24" s="1">
        <f t="shared" si="1"/>
        <v>11</v>
      </c>
      <c r="G24" s="1">
        <f t="shared" si="4"/>
        <v>3.7850731509421518</v>
      </c>
      <c r="H24" s="1">
        <f t="shared" si="2"/>
        <v>85.079362075061567</v>
      </c>
      <c r="I24" s="1">
        <f t="shared" si="3"/>
        <v>14.920637924938429</v>
      </c>
    </row>
    <row r="25" spans="1:9" x14ac:dyDescent="0.2">
      <c r="A25" s="1" t="s">
        <v>24</v>
      </c>
      <c r="B25" s="6">
        <v>137569.337</v>
      </c>
      <c r="C25" s="6">
        <v>117141.164</v>
      </c>
      <c r="D25" s="6">
        <v>20428.172999999999</v>
      </c>
      <c r="E25" s="1">
        <f t="shared" si="0"/>
        <v>2024</v>
      </c>
      <c r="F25" s="1">
        <f t="shared" si="1"/>
        <v>12</v>
      </c>
      <c r="G25" s="1">
        <f t="shared" si="4"/>
        <v>-0.54277072591431985</v>
      </c>
      <c r="H25" s="1">
        <f t="shared" si="2"/>
        <v>85.15063498488766</v>
      </c>
      <c r="I25" s="1">
        <f t="shared" si="3"/>
        <v>14.849365015112342</v>
      </c>
    </row>
    <row r="26" spans="1:9" x14ac:dyDescent="0.2">
      <c r="A26" s="1" t="s">
        <v>25</v>
      </c>
      <c r="B26" s="6">
        <v>139712.652</v>
      </c>
      <c r="C26" s="6">
        <v>119204.58900000001</v>
      </c>
      <c r="D26" s="6">
        <v>20508.062999999998</v>
      </c>
      <c r="E26" s="1">
        <f t="shared" si="0"/>
        <v>2024</v>
      </c>
      <c r="F26" s="1">
        <f t="shared" si="1"/>
        <v>12</v>
      </c>
      <c r="G26" s="1">
        <f t="shared" si="4"/>
        <v>1.5579888998083944</v>
      </c>
      <c r="H26" s="1">
        <f t="shared" si="2"/>
        <v>85.321255658363711</v>
      </c>
      <c r="I26" s="1">
        <f t="shared" si="3"/>
        <v>14.678744341636287</v>
      </c>
    </row>
    <row r="27" spans="1:9" x14ac:dyDescent="0.2">
      <c r="A27" s="1" t="s">
        <v>26</v>
      </c>
      <c r="B27" s="6">
        <v>142016.27299999999</v>
      </c>
      <c r="C27" s="6">
        <v>121645.45</v>
      </c>
      <c r="D27" s="6">
        <v>20370.823</v>
      </c>
      <c r="E27" s="1">
        <f t="shared" si="0"/>
        <v>2024</v>
      </c>
      <c r="F27" s="1">
        <f t="shared" si="1"/>
        <v>12</v>
      </c>
      <c r="G27" s="1">
        <f t="shared" si="4"/>
        <v>1.648827766865369</v>
      </c>
      <c r="H27" s="1">
        <f t="shared" si="2"/>
        <v>85.655993802907375</v>
      </c>
      <c r="I27" s="1">
        <f t="shared" si="3"/>
        <v>14.344006197092639</v>
      </c>
    </row>
    <row r="28" spans="1:9" x14ac:dyDescent="0.2">
      <c r="A28" s="1" t="s">
        <v>27</v>
      </c>
      <c r="B28" s="6">
        <v>150390.14000000001</v>
      </c>
      <c r="C28" s="6">
        <v>129719.376</v>
      </c>
      <c r="D28" s="6">
        <v>20670.763999999999</v>
      </c>
      <c r="E28" s="1">
        <f t="shared" si="0"/>
        <v>2024</v>
      </c>
      <c r="F28" s="1">
        <f t="shared" si="1"/>
        <v>12</v>
      </c>
      <c r="G28" s="1">
        <f t="shared" si="4"/>
        <v>5.8964137159127024</v>
      </c>
      <c r="H28" s="1">
        <f t="shared" si="2"/>
        <v>86.255239871443692</v>
      </c>
      <c r="I28" s="1">
        <f t="shared" si="3"/>
        <v>13.744760128556299</v>
      </c>
    </row>
    <row r="29" spans="1:9" x14ac:dyDescent="0.2">
      <c r="A29" s="1" t="s">
        <v>28</v>
      </c>
      <c r="B29" s="6">
        <v>152815.70800000001</v>
      </c>
      <c r="C29" s="6">
        <v>132288.65299999999</v>
      </c>
      <c r="D29" s="6">
        <v>20527.055</v>
      </c>
      <c r="E29" s="1">
        <f t="shared" si="0"/>
        <v>2025</v>
      </c>
      <c r="F29" s="1">
        <f t="shared" si="1"/>
        <v>1</v>
      </c>
      <c r="G29" s="1">
        <f t="shared" si="4"/>
        <v>1.612850416922279</v>
      </c>
      <c r="H29" s="1">
        <f t="shared" si="2"/>
        <v>86.567444362460421</v>
      </c>
      <c r="I29" s="1">
        <f t="shared" si="3"/>
        <v>13.432555637539565</v>
      </c>
    </row>
    <row r="30" spans="1:9" x14ac:dyDescent="0.2">
      <c r="A30" s="1" t="s">
        <v>29</v>
      </c>
      <c r="B30" s="6">
        <v>151867.85699999999</v>
      </c>
      <c r="C30" s="6">
        <v>131494.03599999999</v>
      </c>
      <c r="D30" s="6">
        <v>20373.821</v>
      </c>
      <c r="E30" s="1">
        <f t="shared" si="0"/>
        <v>2025</v>
      </c>
      <c r="F30" s="1">
        <f t="shared" si="1"/>
        <v>1</v>
      </c>
      <c r="G30" s="1">
        <f t="shared" si="4"/>
        <v>-0.620257571950669</v>
      </c>
      <c r="H30" s="1">
        <f t="shared" si="2"/>
        <v>86.584507477444689</v>
      </c>
      <c r="I30" s="1">
        <f t="shared" si="3"/>
        <v>13.415492522555317</v>
      </c>
    </row>
    <row r="31" spans="1:9" x14ac:dyDescent="0.2">
      <c r="A31" s="1" t="s">
        <v>30</v>
      </c>
      <c r="B31" s="6">
        <v>151894.568</v>
      </c>
      <c r="C31" s="6">
        <v>131561.90100000001</v>
      </c>
      <c r="D31" s="6">
        <v>20332.667000000001</v>
      </c>
      <c r="E31" s="1">
        <f t="shared" si="0"/>
        <v>2025</v>
      </c>
      <c r="F31" s="1">
        <f t="shared" si="1"/>
        <v>1</v>
      </c>
      <c r="G31" s="1">
        <f t="shared" si="4"/>
        <v>1.758831692739975E-2</v>
      </c>
      <c r="H31" s="1">
        <f t="shared" si="2"/>
        <v>86.613960414963628</v>
      </c>
      <c r="I31" s="1">
        <f t="shared" si="3"/>
        <v>13.38603958503638</v>
      </c>
    </row>
    <row r="32" spans="1:9" x14ac:dyDescent="0.2">
      <c r="A32" s="1" t="s">
        <v>31</v>
      </c>
      <c r="B32" s="6">
        <v>151259.46599999999</v>
      </c>
      <c r="C32" s="6">
        <v>130795.22900000001</v>
      </c>
      <c r="D32" s="6">
        <v>20464.237000000001</v>
      </c>
      <c r="E32" s="1">
        <f t="shared" si="0"/>
        <v>2025</v>
      </c>
      <c r="F32" s="1">
        <f t="shared" si="1"/>
        <v>1</v>
      </c>
      <c r="G32" s="1">
        <f t="shared" si="4"/>
        <v>-0.41812028459109446</v>
      </c>
      <c r="H32" s="1">
        <f t="shared" si="2"/>
        <v>86.470772678782311</v>
      </c>
      <c r="I32" s="1">
        <f t="shared" si="3"/>
        <v>13.529227321217704</v>
      </c>
    </row>
    <row r="33" spans="1:9" x14ac:dyDescent="0.2">
      <c r="A33" s="1" t="s">
        <v>32</v>
      </c>
      <c r="B33" s="6">
        <v>151263.91399999999</v>
      </c>
      <c r="C33" s="6">
        <v>130998.731</v>
      </c>
      <c r="D33" s="6">
        <v>20265.183000000001</v>
      </c>
      <c r="E33" s="1">
        <f t="shared" si="0"/>
        <v>2025</v>
      </c>
      <c r="F33" s="1">
        <f t="shared" si="1"/>
        <v>1</v>
      </c>
      <c r="G33" s="1">
        <f t="shared" si="4"/>
        <v>2.9406424058140987E-3</v>
      </c>
      <c r="H33" s="1">
        <f t="shared" si="2"/>
        <v>86.602764357928763</v>
      </c>
      <c r="I33" s="1">
        <f t="shared" si="3"/>
        <v>13.397235642071248</v>
      </c>
    </row>
    <row r="34" spans="1:9" x14ac:dyDescent="0.2">
      <c r="A34" s="1" t="s">
        <v>33</v>
      </c>
      <c r="B34" s="6">
        <v>150207.34400000001</v>
      </c>
      <c r="C34" s="6">
        <v>129971.82799999999</v>
      </c>
      <c r="D34" s="6">
        <v>20235.516</v>
      </c>
      <c r="E34" s="1">
        <f t="shared" si="0"/>
        <v>2025</v>
      </c>
      <c r="F34" s="1">
        <f t="shared" si="1"/>
        <v>2</v>
      </c>
      <c r="G34" s="1">
        <f t="shared" si="4"/>
        <v>-0.69849442081736557</v>
      </c>
      <c r="H34" s="1">
        <f t="shared" si="2"/>
        <v>86.52827787168647</v>
      </c>
      <c r="I34" s="1">
        <f t="shared" si="3"/>
        <v>13.471722128313512</v>
      </c>
    </row>
    <row r="35" spans="1:9" x14ac:dyDescent="0.2">
      <c r="A35" s="1" t="s">
        <v>34</v>
      </c>
      <c r="B35" s="6">
        <v>151526.66399999999</v>
      </c>
      <c r="C35" s="6">
        <v>131052.499</v>
      </c>
      <c r="D35" s="6">
        <v>20474.165000000001</v>
      </c>
      <c r="E35" s="1">
        <f t="shared" si="0"/>
        <v>2025</v>
      </c>
      <c r="F35" s="1">
        <f t="shared" si="1"/>
        <v>2</v>
      </c>
      <c r="G35" s="1">
        <f t="shared" si="4"/>
        <v>0.87833255343359107</v>
      </c>
      <c r="H35" s="1">
        <f t="shared" si="2"/>
        <v>86.48807776827978</v>
      </c>
      <c r="I35" s="1">
        <f t="shared" si="3"/>
        <v>13.511922231720222</v>
      </c>
    </row>
    <row r="36" spans="1:9" x14ac:dyDescent="0.2">
      <c r="A36" s="1" t="s">
        <v>35</v>
      </c>
      <c r="B36" s="6">
        <v>152072.75399999999</v>
      </c>
      <c r="C36" s="6">
        <v>131680.342</v>
      </c>
      <c r="D36" s="6">
        <v>20392.412</v>
      </c>
      <c r="E36" s="1">
        <f t="shared" si="0"/>
        <v>2025</v>
      </c>
      <c r="F36" s="1">
        <f t="shared" si="1"/>
        <v>2</v>
      </c>
      <c r="G36" s="1">
        <f t="shared" si="4"/>
        <v>0.36039201654963943</v>
      </c>
      <c r="H36" s="1">
        <f t="shared" si="2"/>
        <v>86.590357928284789</v>
      </c>
      <c r="I36" s="1">
        <f t="shared" si="3"/>
        <v>13.409642071715227</v>
      </c>
    </row>
    <row r="37" spans="1:9" x14ac:dyDescent="0.2">
      <c r="A37" s="1" t="s">
        <v>36</v>
      </c>
      <c r="B37" s="6">
        <v>155136.22399999999</v>
      </c>
      <c r="C37" s="6">
        <v>134789.899</v>
      </c>
      <c r="D37" s="6">
        <v>20346.325000000001</v>
      </c>
      <c r="E37" s="1">
        <f t="shared" si="0"/>
        <v>2025</v>
      </c>
      <c r="F37" s="1">
        <f t="shared" si="1"/>
        <v>2</v>
      </c>
      <c r="G37" s="1">
        <f t="shared" si="4"/>
        <v>2.0144765708655488</v>
      </c>
      <c r="H37" s="1">
        <f t="shared" si="2"/>
        <v>86.88486513633336</v>
      </c>
      <c r="I37" s="1">
        <f t="shared" si="3"/>
        <v>13.115134863666658</v>
      </c>
    </row>
    <row r="38" spans="1:9" x14ac:dyDescent="0.2">
      <c r="A38" s="1" t="s">
        <v>37</v>
      </c>
      <c r="B38" s="6">
        <v>155173.47099999999</v>
      </c>
      <c r="C38" s="6">
        <v>134380.791</v>
      </c>
      <c r="D38" s="6">
        <v>20792.68</v>
      </c>
      <c r="E38" s="1">
        <f t="shared" si="0"/>
        <v>2025</v>
      </c>
      <c r="F38" s="1">
        <f t="shared" si="1"/>
        <v>3</v>
      </c>
      <c r="G38" s="1">
        <f t="shared" si="4"/>
        <v>2.4009221727610844E-2</v>
      </c>
      <c r="H38" s="1">
        <f t="shared" si="2"/>
        <v>86.60036418209657</v>
      </c>
      <c r="I38" s="1">
        <f t="shared" si="3"/>
        <v>13.399635817903436</v>
      </c>
    </row>
    <row r="39" spans="1:9" x14ac:dyDescent="0.2">
      <c r="A39" s="1" t="s">
        <v>38</v>
      </c>
      <c r="B39" s="6">
        <v>158983.82399999999</v>
      </c>
      <c r="C39" s="6">
        <v>137769.394</v>
      </c>
      <c r="D39" s="6">
        <v>21214.43</v>
      </c>
      <c r="E39" s="1">
        <f t="shared" si="0"/>
        <v>2025</v>
      </c>
      <c r="F39" s="1">
        <f t="shared" si="1"/>
        <v>3</v>
      </c>
      <c r="G39" s="1">
        <f t="shared" si="4"/>
        <v>2.4555440923274849</v>
      </c>
      <c r="H39" s="1">
        <f t="shared" si="2"/>
        <v>86.656233655569892</v>
      </c>
      <c r="I39" s="1">
        <f t="shared" si="3"/>
        <v>13.343766344430112</v>
      </c>
    </row>
    <row r="40" spans="1:9" x14ac:dyDescent="0.2">
      <c r="A40" s="1" t="s">
        <v>39</v>
      </c>
      <c r="B40" s="6">
        <v>162157.43799999999</v>
      </c>
      <c r="C40" s="6">
        <v>140013.851</v>
      </c>
      <c r="D40" s="6">
        <v>22143.587</v>
      </c>
      <c r="E40" s="1">
        <f t="shared" si="0"/>
        <v>2025</v>
      </c>
      <c r="F40" s="1">
        <f t="shared" si="1"/>
        <v>3</v>
      </c>
      <c r="G40" s="1">
        <f t="shared" si="4"/>
        <v>1.9961867315507531</v>
      </c>
      <c r="H40" s="1">
        <f t="shared" si="2"/>
        <v>86.344390196890004</v>
      </c>
      <c r="I40" s="1">
        <f t="shared" si="3"/>
        <v>13.655609803109989</v>
      </c>
    </row>
    <row r="41" spans="1:9" x14ac:dyDescent="0.2">
      <c r="A41" s="1" t="s">
        <v>40</v>
      </c>
      <c r="B41" s="6">
        <v>168853.239</v>
      </c>
      <c r="C41" s="6">
        <v>146550.32800000001</v>
      </c>
      <c r="D41" s="6">
        <v>22302.911</v>
      </c>
      <c r="E41" s="1">
        <f t="shared" si="0"/>
        <v>2025</v>
      </c>
      <c r="F41" s="1">
        <f t="shared" si="1"/>
        <v>3</v>
      </c>
      <c r="G41" s="1">
        <f t="shared" si="4"/>
        <v>4.1291975764935351</v>
      </c>
      <c r="H41" s="1">
        <f t="shared" si="2"/>
        <v>86.791540907308274</v>
      </c>
      <c r="I41" s="1">
        <f t="shared" si="3"/>
        <v>13.208459092691733</v>
      </c>
    </row>
    <row r="42" spans="1:9" x14ac:dyDescent="0.2">
      <c r="A42" s="1" t="s">
        <v>41</v>
      </c>
      <c r="B42" s="6">
        <v>166084.859</v>
      </c>
      <c r="C42" s="6">
        <v>143508.91699999999</v>
      </c>
      <c r="D42" s="6">
        <v>22575.941999999999</v>
      </c>
      <c r="E42" s="1">
        <f t="shared" si="0"/>
        <v>2025</v>
      </c>
      <c r="F42" s="1">
        <f t="shared" si="1"/>
        <v>4</v>
      </c>
      <c r="G42" s="1">
        <f t="shared" si="4"/>
        <v>-1.6395184459564938</v>
      </c>
      <c r="H42" s="1">
        <f t="shared" si="2"/>
        <v>86.406983673328099</v>
      </c>
      <c r="I42" s="1">
        <f t="shared" si="3"/>
        <v>13.593016326671897</v>
      </c>
    </row>
    <row r="43" spans="1:9" x14ac:dyDescent="0.2">
      <c r="A43" s="1" t="s">
        <v>42</v>
      </c>
      <c r="B43" s="6">
        <v>165677.144</v>
      </c>
      <c r="C43" s="6">
        <v>143236.71599999999</v>
      </c>
      <c r="D43" s="6">
        <v>22440.428</v>
      </c>
      <c r="E43" s="1">
        <f t="shared" si="0"/>
        <v>2025</v>
      </c>
      <c r="F43" s="1">
        <f t="shared" si="1"/>
        <v>4</v>
      </c>
      <c r="G43" s="1">
        <f t="shared" si="4"/>
        <v>-0.24548595365938597</v>
      </c>
      <c r="H43" s="1">
        <f t="shared" si="2"/>
        <v>86.455326632139432</v>
      </c>
      <c r="I43" s="1">
        <f t="shared" si="3"/>
        <v>13.544673367860566</v>
      </c>
    </row>
    <row r="44" spans="1:9" x14ac:dyDescent="0.2">
      <c r="A44" s="1" t="s">
        <v>43</v>
      </c>
      <c r="B44" s="6">
        <v>170708.18100000001</v>
      </c>
      <c r="C44" s="6">
        <v>144756.56899999999</v>
      </c>
      <c r="D44" s="6">
        <v>25951.612000000001</v>
      </c>
      <c r="E44" s="1">
        <f t="shared" si="0"/>
        <v>2025</v>
      </c>
      <c r="F44" s="1">
        <f t="shared" si="1"/>
        <v>4</v>
      </c>
      <c r="G44" s="1">
        <f t="shared" si="4"/>
        <v>3.0366512112256179</v>
      </c>
      <c r="H44" s="1">
        <f t="shared" si="2"/>
        <v>84.797675279546198</v>
      </c>
      <c r="I44" s="1">
        <f t="shared" si="3"/>
        <v>15.202324720453788</v>
      </c>
    </row>
    <row r="45" spans="1:9" x14ac:dyDescent="0.2">
      <c r="A45" s="1" t="s">
        <v>44</v>
      </c>
      <c r="B45" s="6">
        <v>173370.89</v>
      </c>
      <c r="C45" s="6">
        <v>147213.78099999999</v>
      </c>
      <c r="D45" s="6">
        <v>26157.109</v>
      </c>
      <c r="E45" s="1">
        <f t="shared" si="0"/>
        <v>2025</v>
      </c>
      <c r="F45" s="1">
        <f t="shared" si="1"/>
        <v>4</v>
      </c>
      <c r="G45" s="1">
        <f t="shared" si="4"/>
        <v>1.5598016359860354</v>
      </c>
      <c r="H45" s="1">
        <f t="shared" si="2"/>
        <v>84.912629219357399</v>
      </c>
      <c r="I45" s="1">
        <f t="shared" si="3"/>
        <v>15.087370780642587</v>
      </c>
    </row>
    <row r="46" spans="1:9" x14ac:dyDescent="0.2">
      <c r="A46" s="1" t="s">
        <v>45</v>
      </c>
      <c r="B46" s="6">
        <v>175896.79699999999</v>
      </c>
      <c r="C46" s="6">
        <v>149080.58100000001</v>
      </c>
      <c r="D46" s="6">
        <v>26816.216</v>
      </c>
      <c r="E46" s="1">
        <f t="shared" si="0"/>
        <v>2025</v>
      </c>
      <c r="F46" s="1">
        <f t="shared" si="1"/>
        <v>5</v>
      </c>
      <c r="G46" s="1">
        <f t="shared" si="4"/>
        <v>1.4569383591443623</v>
      </c>
      <c r="H46" s="1">
        <f t="shared" si="2"/>
        <v>84.754574013078823</v>
      </c>
      <c r="I46" s="1">
        <f t="shared" si="3"/>
        <v>15.245425986921186</v>
      </c>
    </row>
    <row r="47" spans="1:9" x14ac:dyDescent="0.2">
      <c r="A47" s="1" t="s">
        <v>46</v>
      </c>
      <c r="B47" s="6">
        <v>175107.53099999999</v>
      </c>
      <c r="C47" s="6">
        <v>148517.84</v>
      </c>
      <c r="D47" s="6">
        <v>26589.690999999999</v>
      </c>
      <c r="E47" s="1">
        <f t="shared" si="0"/>
        <v>2025</v>
      </c>
      <c r="F47" s="1">
        <f t="shared" si="1"/>
        <v>5</v>
      </c>
      <c r="G47" s="1">
        <f t="shared" si="4"/>
        <v>-0.44870970561220808</v>
      </c>
      <c r="H47" s="1">
        <f t="shared" si="2"/>
        <v>84.815221339623605</v>
      </c>
      <c r="I47" s="1">
        <f t="shared" si="3"/>
        <v>15.184778660376406</v>
      </c>
    </row>
    <row r="48" spans="1:9" x14ac:dyDescent="0.2">
      <c r="A48" s="1" t="s">
        <v>47</v>
      </c>
      <c r="B48" s="6">
        <v>175846.416</v>
      </c>
      <c r="C48" s="6">
        <v>149485.584</v>
      </c>
      <c r="D48" s="6">
        <v>26360.831999999999</v>
      </c>
      <c r="E48" s="1">
        <f t="shared" si="0"/>
        <v>2025</v>
      </c>
      <c r="F48" s="1">
        <f t="shared" si="1"/>
        <v>5</v>
      </c>
      <c r="G48" s="1">
        <f t="shared" si="4"/>
        <v>0.42196072080989444</v>
      </c>
      <c r="H48" s="1">
        <f t="shared" si="2"/>
        <v>85.009173004697473</v>
      </c>
      <c r="I48" s="1">
        <f t="shared" si="3"/>
        <v>14.990826995302536</v>
      </c>
    </row>
    <row r="49" spans="1:9" x14ac:dyDescent="0.2">
      <c r="A49" s="1" t="s">
        <v>48</v>
      </c>
      <c r="B49" s="6">
        <v>177070.984</v>
      </c>
      <c r="C49" s="6">
        <v>150545.26199999999</v>
      </c>
      <c r="D49" s="6">
        <v>26525.722000000002</v>
      </c>
      <c r="E49" s="1">
        <f t="shared" si="0"/>
        <v>2025</v>
      </c>
      <c r="F49" s="1">
        <f t="shared" si="1"/>
        <v>5</v>
      </c>
      <c r="G49" s="1">
        <f t="shared" si="4"/>
        <v>0.69638496356957269</v>
      </c>
      <c r="H49" s="1">
        <f t="shared" si="2"/>
        <v>85.01972406727009</v>
      </c>
      <c r="I49" s="1">
        <f t="shared" si="3"/>
        <v>14.980275932729894</v>
      </c>
    </row>
    <row r="50" spans="1:9" x14ac:dyDescent="0.2">
      <c r="A50" s="1" t="s">
        <v>49</v>
      </c>
      <c r="B50" s="6">
        <v>181582.372</v>
      </c>
      <c r="C50" s="6">
        <v>154769.71400000001</v>
      </c>
      <c r="D50" s="6">
        <v>26812.657999999999</v>
      </c>
      <c r="E50" s="1">
        <f t="shared" si="0"/>
        <v>2025</v>
      </c>
      <c r="F50" s="1">
        <f t="shared" si="1"/>
        <v>5</v>
      </c>
      <c r="G50" s="1">
        <f t="shared" si="4"/>
        <v>2.5477850171093004</v>
      </c>
      <c r="H50" s="1">
        <f t="shared" si="2"/>
        <v>85.233887130849908</v>
      </c>
      <c r="I50" s="1">
        <f t="shared" si="3"/>
        <v>14.766112869150094</v>
      </c>
    </row>
    <row r="51" spans="1:9" x14ac:dyDescent="0.2">
      <c r="A51" s="1" t="s">
        <v>50</v>
      </c>
      <c r="B51" s="6">
        <v>181751.63800000001</v>
      </c>
      <c r="C51" s="6">
        <v>154752.766</v>
      </c>
      <c r="D51" s="6">
        <v>26998.871999999999</v>
      </c>
      <c r="E51" s="1">
        <f t="shared" si="0"/>
        <v>2025</v>
      </c>
      <c r="F51" s="1">
        <f t="shared" si="1"/>
        <v>6</v>
      </c>
      <c r="G51" s="1">
        <f t="shared" si="4"/>
        <v>9.3217198418359279E-2</v>
      </c>
      <c r="H51" s="1">
        <f t="shared" si="2"/>
        <v>85.145183670916907</v>
      </c>
      <c r="I51" s="1">
        <f t="shared" si="3"/>
        <v>14.854816329083095</v>
      </c>
    </row>
    <row r="52" spans="1:9" x14ac:dyDescent="0.2">
      <c r="A52" s="1" t="s">
        <v>51</v>
      </c>
      <c r="B52" s="6">
        <v>182759.34</v>
      </c>
      <c r="C52" s="6">
        <v>154260.77100000001</v>
      </c>
      <c r="D52" s="6">
        <v>28498.569</v>
      </c>
      <c r="E52" s="1">
        <f t="shared" si="0"/>
        <v>2025</v>
      </c>
      <c r="F52" s="1">
        <f t="shared" si="1"/>
        <v>6</v>
      </c>
      <c r="G52" s="1">
        <f t="shared" si="4"/>
        <v>0.55443901969125042</v>
      </c>
      <c r="H52" s="1">
        <f t="shared" si="2"/>
        <v>84.406504751002061</v>
      </c>
      <c r="I52" s="1">
        <f t="shared" si="3"/>
        <v>15.593495248997943</v>
      </c>
    </row>
    <row r="53" spans="1:9" x14ac:dyDescent="0.2">
      <c r="A53" s="1" t="s">
        <v>52</v>
      </c>
      <c r="B53" s="6">
        <v>183306.625</v>
      </c>
      <c r="C53" s="6">
        <v>154630.73699999999</v>
      </c>
      <c r="D53" s="6">
        <v>28675.887999999999</v>
      </c>
      <c r="E53" s="1">
        <f t="shared" si="0"/>
        <v>2025</v>
      </c>
      <c r="F53" s="1">
        <f t="shared" si="1"/>
        <v>6</v>
      </c>
      <c r="G53" s="1">
        <f t="shared" si="4"/>
        <v>0.29945665157250156</v>
      </c>
      <c r="H53" s="1">
        <f t="shared" si="2"/>
        <v>84.356327546808515</v>
      </c>
      <c r="I53" s="1">
        <f t="shared" si="3"/>
        <v>15.643672453191476</v>
      </c>
    </row>
    <row r="54" spans="1:9" x14ac:dyDescent="0.2">
      <c r="A54" s="1" t="s">
        <v>53</v>
      </c>
      <c r="B54" s="6">
        <v>187969.62400000001</v>
      </c>
      <c r="C54" s="6">
        <v>158245.23800000001</v>
      </c>
      <c r="D54" s="6">
        <v>29724.385999999999</v>
      </c>
      <c r="E54" s="1">
        <f t="shared" si="0"/>
        <v>2025</v>
      </c>
      <c r="F54" s="1">
        <f t="shared" si="1"/>
        <v>6</v>
      </c>
      <c r="G54" s="1">
        <f t="shared" si="4"/>
        <v>2.5438245889912654</v>
      </c>
      <c r="H54" s="1">
        <f t="shared" si="2"/>
        <v>84.18660134150187</v>
      </c>
      <c r="I54" s="1">
        <f t="shared" si="3"/>
        <v>15.813398658498141</v>
      </c>
    </row>
    <row r="55" spans="1:9" x14ac:dyDescent="0.2">
      <c r="A55" s="1" t="s">
        <v>54</v>
      </c>
      <c r="B55" s="6">
        <v>193029.09</v>
      </c>
      <c r="C55" s="6">
        <v>161687.508</v>
      </c>
      <c r="D55" s="6">
        <v>31341.581999999999</v>
      </c>
      <c r="E55" s="1">
        <f t="shared" si="0"/>
        <v>2025</v>
      </c>
      <c r="F55" s="1">
        <f t="shared" si="1"/>
        <v>7</v>
      </c>
      <c r="G55" s="1">
        <f t="shared" si="4"/>
        <v>2.6916402194856683</v>
      </c>
      <c r="H55" s="1">
        <f t="shared" si="2"/>
        <v>83.763285627052383</v>
      </c>
      <c r="I55" s="1">
        <f t="shared" si="3"/>
        <v>16.23671437294762</v>
      </c>
    </row>
    <row r="56" spans="1:9" x14ac:dyDescent="0.2">
      <c r="A56" s="1" t="s">
        <v>55</v>
      </c>
      <c r="B56" s="6">
        <v>193187.671</v>
      </c>
      <c r="C56" s="6">
        <v>161742.348</v>
      </c>
      <c r="D56" s="6">
        <v>31445.323</v>
      </c>
      <c r="E56" s="1">
        <f t="shared" si="0"/>
        <v>2025</v>
      </c>
      <c r="F56" s="1">
        <f t="shared" si="1"/>
        <v>7</v>
      </c>
      <c r="G56" s="1">
        <f t="shared" si="4"/>
        <v>8.215393855921177E-2</v>
      </c>
      <c r="H56" s="1">
        <f t="shared" si="2"/>
        <v>83.722914181205681</v>
      </c>
      <c r="I56" s="1">
        <f t="shared" si="3"/>
        <v>16.277085818794308</v>
      </c>
    </row>
    <row r="57" spans="1:9" x14ac:dyDescent="0.2">
      <c r="A57" s="1" t="s">
        <v>56</v>
      </c>
      <c r="B57" s="6">
        <v>192450.62100000001</v>
      </c>
      <c r="C57" s="6">
        <v>161312.864</v>
      </c>
      <c r="D57" s="6">
        <v>31137.757000000001</v>
      </c>
      <c r="E57" s="1">
        <f t="shared" si="0"/>
        <v>2025</v>
      </c>
      <c r="F57" s="1">
        <f t="shared" si="1"/>
        <v>7</v>
      </c>
      <c r="G57" s="1">
        <f t="shared" si="4"/>
        <v>-0.38152020581064328</v>
      </c>
      <c r="H57" s="1">
        <f t="shared" si="2"/>
        <v>83.820391517468778</v>
      </c>
      <c r="I57" s="1">
        <f t="shared" si="3"/>
        <v>16.179608482531215</v>
      </c>
    </row>
    <row r="58" spans="1:9" x14ac:dyDescent="0.2">
      <c r="A58" s="1" t="s">
        <v>57</v>
      </c>
      <c r="B58" s="6">
        <v>192548.29699999999</v>
      </c>
      <c r="C58" s="6">
        <v>161184.41</v>
      </c>
      <c r="D58" s="6">
        <v>31363.886999999999</v>
      </c>
      <c r="E58" s="1">
        <f t="shared" si="0"/>
        <v>2025</v>
      </c>
      <c r="F58" s="1">
        <f t="shared" si="1"/>
        <v>7</v>
      </c>
      <c r="G58" s="1">
        <f t="shared" si="4"/>
        <v>5.0753798295084557E-2</v>
      </c>
      <c r="H58" s="1">
        <f t="shared" si="2"/>
        <v>83.711158452884177</v>
      </c>
      <c r="I58" s="1">
        <f t="shared" si="3"/>
        <v>16.28884154711584</v>
      </c>
    </row>
    <row r="59" spans="1:9" x14ac:dyDescent="0.2">
      <c r="A59" s="1" t="s">
        <v>58</v>
      </c>
      <c r="B59" s="6">
        <v>196259.356</v>
      </c>
      <c r="C59" s="6">
        <v>165558.44099999999</v>
      </c>
      <c r="D59" s="6">
        <v>30700.915000000001</v>
      </c>
      <c r="E59" s="1">
        <f t="shared" si="0"/>
        <v>2025</v>
      </c>
      <c r="F59" s="1">
        <f t="shared" si="1"/>
        <v>8</v>
      </c>
      <c r="G59" s="1">
        <f t="shared" si="4"/>
        <v>1.9273393002276249</v>
      </c>
      <c r="H59" s="1">
        <f t="shared" si="2"/>
        <v>84.356967420192703</v>
      </c>
      <c r="I59" s="1">
        <f t="shared" si="3"/>
        <v>15.643032579807304</v>
      </c>
    </row>
    <row r="60" spans="1:9" x14ac:dyDescent="0.2">
      <c r="A60" s="1" t="s">
        <v>59</v>
      </c>
      <c r="B60" s="6">
        <v>196486.32199999999</v>
      </c>
      <c r="C60" s="6">
        <v>164995.60699999999</v>
      </c>
      <c r="D60" s="6">
        <v>31490.715</v>
      </c>
      <c r="E60" s="1">
        <f t="shared" si="0"/>
        <v>2025</v>
      </c>
      <c r="F60" s="1">
        <f t="shared" si="1"/>
        <v>8</v>
      </c>
      <c r="G60" s="1">
        <f t="shared" si="4"/>
        <v>0.11564595167630419</v>
      </c>
      <c r="H60" s="1">
        <f t="shared" si="2"/>
        <v>83.973075235231903</v>
      </c>
      <c r="I60" s="1">
        <f t="shared" si="3"/>
        <v>16.026924764768104</v>
      </c>
    </row>
    <row r="61" spans="1:9" x14ac:dyDescent="0.2">
      <c r="A61" s="1" t="s">
        <v>60</v>
      </c>
      <c r="B61" s="6">
        <v>197524.31</v>
      </c>
      <c r="C61" s="6">
        <v>166037.28200000001</v>
      </c>
      <c r="D61" s="6">
        <v>31487.027999999998</v>
      </c>
      <c r="E61" s="1">
        <f t="shared" si="0"/>
        <v>2025</v>
      </c>
      <c r="F61" s="1">
        <f t="shared" si="1"/>
        <v>8</v>
      </c>
      <c r="G61" s="1">
        <f t="shared" si="4"/>
        <v>0.5282749401762491</v>
      </c>
      <c r="H61" s="1">
        <f t="shared" si="2"/>
        <v>84.05916314807024</v>
      </c>
      <c r="I61" s="1">
        <f t="shared" si="3"/>
        <v>15.940836851929769</v>
      </c>
    </row>
    <row r="62" spans="1:9" x14ac:dyDescent="0.2">
      <c r="A62" s="1" t="s">
        <v>61</v>
      </c>
      <c r="B62" s="6">
        <v>196372.307</v>
      </c>
      <c r="C62" s="6">
        <v>165052.073</v>
      </c>
      <c r="D62" s="6">
        <v>31320.234</v>
      </c>
      <c r="E62" s="1">
        <f t="shared" si="0"/>
        <v>2025</v>
      </c>
      <c r="F62" s="1">
        <f t="shared" si="1"/>
        <v>8</v>
      </c>
      <c r="G62" s="1">
        <f t="shared" si="4"/>
        <v>-0.58322087038299086</v>
      </c>
      <c r="H62" s="1">
        <f t="shared" si="2"/>
        <v>84.050585095993185</v>
      </c>
      <c r="I62" s="1">
        <f t="shared" si="3"/>
        <v>15.949414904006806</v>
      </c>
    </row>
    <row r="63" spans="1:9" x14ac:dyDescent="0.2">
      <c r="A63" s="1" t="s">
        <v>62</v>
      </c>
      <c r="B63" s="6">
        <v>199983.14300000001</v>
      </c>
      <c r="C63" s="6">
        <v>168857.97</v>
      </c>
      <c r="D63" s="6">
        <v>31125.172999999999</v>
      </c>
      <c r="E63" s="1">
        <f t="shared" si="0"/>
        <v>2025</v>
      </c>
      <c r="F63" s="1">
        <f t="shared" si="1"/>
        <v>8</v>
      </c>
      <c r="G63" s="1">
        <f t="shared" si="4"/>
        <v>1.8387704738835757</v>
      </c>
      <c r="H63" s="1">
        <f t="shared" si="2"/>
        <v>84.436101696831514</v>
      </c>
      <c r="I63" s="1">
        <f t="shared" si="3"/>
        <v>15.563898303168481</v>
      </c>
    </row>
    <row r="64" spans="1:9" x14ac:dyDescent="0.2">
      <c r="A64" s="1" t="s">
        <v>63</v>
      </c>
      <c r="B64" s="6">
        <v>198410.08100000001</v>
      </c>
      <c r="C64" s="6">
        <v>167426.73300000001</v>
      </c>
      <c r="D64" s="6">
        <v>30983.348000000002</v>
      </c>
      <c r="E64" s="1">
        <f t="shared" si="0"/>
        <v>2025</v>
      </c>
      <c r="F64" s="1">
        <f t="shared" si="1"/>
        <v>9</v>
      </c>
      <c r="G64" s="1">
        <f t="shared" si="4"/>
        <v>-0.78659729835329428</v>
      </c>
      <c r="H64" s="1">
        <f t="shared" si="2"/>
        <v>84.384186607937522</v>
      </c>
      <c r="I64" s="1">
        <f t="shared" si="3"/>
        <v>15.615813392062472</v>
      </c>
    </row>
    <row r="65" spans="1:9" x14ac:dyDescent="0.2">
      <c r="A65" s="1" t="s">
        <v>64</v>
      </c>
      <c r="B65" s="6">
        <v>198778.49</v>
      </c>
      <c r="C65" s="6">
        <v>167680.05600000001</v>
      </c>
      <c r="D65" s="6">
        <v>31098.434000000001</v>
      </c>
      <c r="E65" s="1">
        <f t="shared" si="0"/>
        <v>2025</v>
      </c>
      <c r="F65" s="1">
        <f t="shared" si="1"/>
        <v>9</v>
      </c>
      <c r="G65" s="1">
        <f t="shared" si="4"/>
        <v>0.18568058545371244</v>
      </c>
      <c r="H65" s="1">
        <f t="shared" si="2"/>
        <v>84.355231795955405</v>
      </c>
      <c r="I65" s="1">
        <f t="shared" si="3"/>
        <v>15.644768204044615</v>
      </c>
    </row>
    <row r="66" spans="1:9" x14ac:dyDescent="0.2">
      <c r="A66" s="1" t="s">
        <v>65</v>
      </c>
      <c r="B66" s="6">
        <v>202137.92600000001</v>
      </c>
      <c r="C66" s="6">
        <v>170914.611</v>
      </c>
      <c r="D66" s="6">
        <v>31223.314999999999</v>
      </c>
      <c r="E66" s="1">
        <f t="shared" si="0"/>
        <v>2025</v>
      </c>
      <c r="F66" s="1">
        <f t="shared" si="1"/>
        <v>9</v>
      </c>
      <c r="G66" s="1">
        <f t="shared" si="4"/>
        <v>1.690040003825372</v>
      </c>
      <c r="H66" s="1">
        <f t="shared" si="2"/>
        <v>84.553460294234938</v>
      </c>
      <c r="I66" s="1">
        <f t="shared" si="3"/>
        <v>15.446539705765062</v>
      </c>
    </row>
    <row r="67" spans="1:9" x14ac:dyDescent="0.2">
      <c r="A67" s="1" t="s">
        <v>66</v>
      </c>
      <c r="B67" s="6">
        <v>205967.06400000001</v>
      </c>
      <c r="C67" s="6">
        <v>174836.049</v>
      </c>
      <c r="D67" s="6">
        <v>31131.014999999999</v>
      </c>
      <c r="E67" s="1">
        <f t="shared" ref="E67:E95" si="5">YEAR(A67)</f>
        <v>2025</v>
      </c>
      <c r="F67" s="1">
        <f t="shared" ref="F67:F95" si="6">MONTH(A67)</f>
        <v>9</v>
      </c>
      <c r="G67" s="1">
        <f t="shared" si="4"/>
        <v>1.8943194262317731</v>
      </c>
      <c r="H67" s="1">
        <f t="shared" ref="H67:H95" si="7">C67/B67*100</f>
        <v>84.885440227472472</v>
      </c>
      <c r="I67" s="1">
        <f t="shared" ref="I67:I95" si="8">D67/B67*100</f>
        <v>15.114559772527514</v>
      </c>
    </row>
    <row r="68" spans="1:9" x14ac:dyDescent="0.2">
      <c r="A68" s="1" t="s">
        <v>67</v>
      </c>
      <c r="B68" s="6">
        <v>211669.36799999999</v>
      </c>
      <c r="C68" s="6">
        <v>180131.49900000001</v>
      </c>
      <c r="D68" s="6">
        <v>31537.868999999999</v>
      </c>
      <c r="E68" s="1">
        <f t="shared" si="5"/>
        <v>2025</v>
      </c>
      <c r="F68" s="1">
        <f t="shared" si="6"/>
        <v>10</v>
      </c>
      <c r="G68" s="1">
        <f t="shared" ref="G68:G95" si="9">(B68-B67)/B67*100</f>
        <v>2.7685513835357551</v>
      </c>
      <c r="H68" s="1">
        <f t="shared" si="7"/>
        <v>85.100409521702744</v>
      </c>
      <c r="I68" s="1">
        <f t="shared" si="8"/>
        <v>14.899590478297267</v>
      </c>
    </row>
    <row r="69" spans="1:9" x14ac:dyDescent="0.2">
      <c r="A69" s="1" t="s">
        <v>68</v>
      </c>
      <c r="B69" s="6">
        <v>212832.065</v>
      </c>
      <c r="C69" s="6">
        <v>181281.62</v>
      </c>
      <c r="D69" s="6">
        <v>31550.445</v>
      </c>
      <c r="E69" s="1">
        <f t="shared" si="5"/>
        <v>2025</v>
      </c>
      <c r="F69" s="1">
        <f t="shared" si="6"/>
        <v>10</v>
      </c>
      <c r="G69" s="1">
        <f t="shared" si="9"/>
        <v>0.54929865902940422</v>
      </c>
      <c r="H69" s="1">
        <f t="shared" si="7"/>
        <v>85.175896780402894</v>
      </c>
      <c r="I69" s="1">
        <f t="shared" si="8"/>
        <v>14.824103219597104</v>
      </c>
    </row>
    <row r="70" spans="1:9" x14ac:dyDescent="0.2">
      <c r="A70" s="1" t="s">
        <v>69</v>
      </c>
      <c r="B70" s="6">
        <v>215237.74799999999</v>
      </c>
      <c r="C70" s="6">
        <v>183604.34400000001</v>
      </c>
      <c r="D70" s="6">
        <v>31633.403999999999</v>
      </c>
      <c r="E70" s="1">
        <f t="shared" si="5"/>
        <v>2025</v>
      </c>
      <c r="F70" s="1">
        <f t="shared" si="6"/>
        <v>10</v>
      </c>
      <c r="G70" s="1">
        <f t="shared" si="9"/>
        <v>1.1303198134172077</v>
      </c>
      <c r="H70" s="1">
        <f t="shared" si="7"/>
        <v>85.303040803047253</v>
      </c>
      <c r="I70" s="1">
        <f t="shared" si="8"/>
        <v>14.696959196952758</v>
      </c>
    </row>
    <row r="71" spans="1:9" x14ac:dyDescent="0.2">
      <c r="A71" s="1" t="s">
        <v>70</v>
      </c>
      <c r="B71" s="6">
        <v>217691.68900000001</v>
      </c>
      <c r="C71" s="6">
        <v>186114.671</v>
      </c>
      <c r="D71" s="6">
        <v>31577.018</v>
      </c>
      <c r="E71" s="1">
        <f t="shared" si="5"/>
        <v>2025</v>
      </c>
      <c r="F71" s="1">
        <f t="shared" si="6"/>
        <v>10</v>
      </c>
      <c r="G71" s="1">
        <f t="shared" si="9"/>
        <v>1.1401071711640567</v>
      </c>
      <c r="H71" s="1">
        <f t="shared" si="7"/>
        <v>85.494614817380551</v>
      </c>
      <c r="I71" s="1">
        <f t="shared" si="8"/>
        <v>14.505385182619444</v>
      </c>
    </row>
    <row r="72" spans="1:9" x14ac:dyDescent="0.2">
      <c r="A72" s="1" t="s">
        <v>71</v>
      </c>
      <c r="B72" s="6">
        <v>220839.12400000001</v>
      </c>
      <c r="C72" s="6">
        <v>189604.79500000001</v>
      </c>
      <c r="D72" s="6">
        <v>31234.329000000002</v>
      </c>
      <c r="E72" s="1">
        <f t="shared" si="5"/>
        <v>2025</v>
      </c>
      <c r="F72" s="1">
        <f t="shared" si="6"/>
        <v>10</v>
      </c>
      <c r="G72" s="1">
        <f t="shared" si="9"/>
        <v>1.4458223069783787</v>
      </c>
      <c r="H72" s="1">
        <f t="shared" si="7"/>
        <v>85.856523774292825</v>
      </c>
      <c r="I72" s="1">
        <f t="shared" si="8"/>
        <v>14.143476225707181</v>
      </c>
    </row>
    <row r="73" spans="1:9" x14ac:dyDescent="0.2">
      <c r="A73" s="1" t="s">
        <v>72</v>
      </c>
      <c r="B73" s="6">
        <v>222738.00899999999</v>
      </c>
      <c r="C73" s="6">
        <v>191530.90599999999</v>
      </c>
      <c r="D73" s="6">
        <v>31207.102999999999</v>
      </c>
      <c r="E73" s="1">
        <f t="shared" si="5"/>
        <v>2025</v>
      </c>
      <c r="F73" s="1">
        <f t="shared" si="6"/>
        <v>11</v>
      </c>
      <c r="G73" s="1">
        <f t="shared" si="9"/>
        <v>0.85984990594328758</v>
      </c>
      <c r="H73" s="1">
        <f t="shared" si="7"/>
        <v>85.989322998752314</v>
      </c>
      <c r="I73" s="1">
        <f t="shared" si="8"/>
        <v>14.010677001247684</v>
      </c>
    </row>
    <row r="74" spans="1:9" x14ac:dyDescent="0.2">
      <c r="A74" s="1" t="s">
        <v>73</v>
      </c>
      <c r="B74" s="6">
        <v>225971.94399999999</v>
      </c>
      <c r="C74" s="6">
        <v>194550.277</v>
      </c>
      <c r="D74" s="6">
        <v>31421.667000000001</v>
      </c>
      <c r="E74" s="1">
        <f t="shared" si="5"/>
        <v>2025</v>
      </c>
      <c r="F74" s="1">
        <f t="shared" si="6"/>
        <v>11</v>
      </c>
      <c r="G74" s="1">
        <f t="shared" si="9"/>
        <v>1.4519008293730407</v>
      </c>
      <c r="H74" s="1">
        <f t="shared" si="7"/>
        <v>86.094881318541042</v>
      </c>
      <c r="I74" s="1">
        <f t="shared" si="8"/>
        <v>13.905118681458969</v>
      </c>
    </row>
    <row r="75" spans="1:9" x14ac:dyDescent="0.2">
      <c r="A75" s="1" t="s">
        <v>74</v>
      </c>
      <c r="B75" s="6">
        <v>228469.427</v>
      </c>
      <c r="C75" s="6">
        <v>197242.70699999999</v>
      </c>
      <c r="D75" s="6">
        <v>31226.720000000001</v>
      </c>
      <c r="E75" s="1">
        <f t="shared" si="5"/>
        <v>2025</v>
      </c>
      <c r="F75" s="1">
        <f t="shared" si="6"/>
        <v>11</v>
      </c>
      <c r="G75" s="1">
        <f t="shared" si="9"/>
        <v>1.1052181769963476</v>
      </c>
      <c r="H75" s="1">
        <f t="shared" si="7"/>
        <v>86.33221065503875</v>
      </c>
      <c r="I75" s="1">
        <f t="shared" si="8"/>
        <v>13.667789344961243</v>
      </c>
    </row>
    <row r="76" spans="1:9" x14ac:dyDescent="0.2">
      <c r="A76" s="1" t="s">
        <v>75</v>
      </c>
      <c r="B76" s="6">
        <v>240787.47899999999</v>
      </c>
      <c r="C76" s="6">
        <v>208438.098</v>
      </c>
      <c r="D76" s="6">
        <v>32349.381000000001</v>
      </c>
      <c r="E76" s="1">
        <f t="shared" si="5"/>
        <v>2025</v>
      </c>
      <c r="F76" s="1">
        <f t="shared" si="6"/>
        <v>11</v>
      </c>
      <c r="G76" s="1">
        <f t="shared" si="9"/>
        <v>5.3915537679358723</v>
      </c>
      <c r="H76" s="1">
        <f t="shared" si="7"/>
        <v>86.565173100217564</v>
      </c>
      <c r="I76" s="1">
        <f t="shared" si="8"/>
        <v>13.434826899782443</v>
      </c>
    </row>
    <row r="77" spans="1:9" x14ac:dyDescent="0.2">
      <c r="A77" s="1" t="s">
        <v>76</v>
      </c>
      <c r="B77" s="6">
        <v>242875.53</v>
      </c>
      <c r="C77" s="6">
        <v>210306.47899999999</v>
      </c>
      <c r="D77" s="6">
        <v>32569.050999999999</v>
      </c>
      <c r="E77" s="1">
        <f t="shared" si="5"/>
        <v>2025</v>
      </c>
      <c r="F77" s="1">
        <f t="shared" si="6"/>
        <v>12</v>
      </c>
      <c r="G77" s="1">
        <f t="shared" si="9"/>
        <v>0.86717590493981078</v>
      </c>
      <c r="H77" s="1">
        <f t="shared" si="7"/>
        <v>86.590229571501084</v>
      </c>
      <c r="I77" s="1">
        <f t="shared" si="8"/>
        <v>13.409770428498909</v>
      </c>
    </row>
    <row r="78" spans="1:9" x14ac:dyDescent="0.2">
      <c r="A78" s="1" t="s">
        <v>77</v>
      </c>
      <c r="B78" s="6">
        <v>246590.80799999999</v>
      </c>
      <c r="C78" s="6">
        <v>213838.48199999999</v>
      </c>
      <c r="D78" s="6">
        <v>32752.326000000001</v>
      </c>
      <c r="E78" s="1">
        <f t="shared" si="5"/>
        <v>2025</v>
      </c>
      <c r="F78" s="1">
        <f t="shared" si="6"/>
        <v>12</v>
      </c>
      <c r="G78" s="1">
        <f t="shared" si="9"/>
        <v>1.52970453631125</v>
      </c>
      <c r="H78" s="1">
        <f t="shared" si="7"/>
        <v>86.717945301513438</v>
      </c>
      <c r="I78" s="1">
        <f t="shared" si="8"/>
        <v>13.282054698486572</v>
      </c>
    </row>
    <row r="79" spans="1:9" x14ac:dyDescent="0.2">
      <c r="A79" s="1" t="s">
        <v>78</v>
      </c>
      <c r="B79" s="6">
        <v>252455.73199999999</v>
      </c>
      <c r="C79" s="6">
        <v>219751.98300000001</v>
      </c>
      <c r="D79" s="6">
        <v>32703.749</v>
      </c>
      <c r="E79" s="1">
        <f t="shared" si="5"/>
        <v>2025</v>
      </c>
      <c r="F79" s="1">
        <f t="shared" si="6"/>
        <v>12</v>
      </c>
      <c r="G79" s="1">
        <f t="shared" si="9"/>
        <v>2.3784033344827678</v>
      </c>
      <c r="H79" s="1">
        <f t="shared" si="7"/>
        <v>87.045749074138683</v>
      </c>
      <c r="I79" s="1">
        <f t="shared" si="8"/>
        <v>12.954250925861333</v>
      </c>
    </row>
    <row r="80" spans="1:9" x14ac:dyDescent="0.2">
      <c r="A80" s="1" t="s">
        <v>79</v>
      </c>
      <c r="B80" s="6">
        <v>266258.93699999998</v>
      </c>
      <c r="C80" s="6">
        <v>233310.17300000001</v>
      </c>
      <c r="D80" s="6">
        <v>32948.764000000003</v>
      </c>
      <c r="E80" s="1">
        <f t="shared" si="5"/>
        <v>2025</v>
      </c>
      <c r="F80" s="1">
        <f t="shared" si="6"/>
        <v>12</v>
      </c>
      <c r="G80" s="1">
        <f t="shared" si="9"/>
        <v>5.4675744102336274</v>
      </c>
      <c r="H80" s="1">
        <f t="shared" si="7"/>
        <v>87.625292742755917</v>
      </c>
      <c r="I80" s="1">
        <f t="shared" si="8"/>
        <v>12.374707257244104</v>
      </c>
    </row>
    <row r="81" spans="1:9" x14ac:dyDescent="0.2">
      <c r="A81" s="1" t="s">
        <v>80</v>
      </c>
      <c r="B81" s="6">
        <v>275148.32699999999</v>
      </c>
      <c r="C81" s="6">
        <v>241222.60800000001</v>
      </c>
      <c r="D81" s="6">
        <v>33925.718999999997</v>
      </c>
      <c r="E81" s="1">
        <f t="shared" si="5"/>
        <v>2026</v>
      </c>
      <c r="F81" s="1">
        <f t="shared" si="6"/>
        <v>1</v>
      </c>
      <c r="G81" s="1">
        <f t="shared" si="9"/>
        <v>3.3386259631916189</v>
      </c>
      <c r="H81" s="1">
        <f t="shared" si="7"/>
        <v>87.670025338733026</v>
      </c>
      <c r="I81" s="1">
        <f t="shared" si="8"/>
        <v>12.329974661266975</v>
      </c>
    </row>
    <row r="82" spans="1:9" x14ac:dyDescent="0.2">
      <c r="A82" s="1" t="s">
        <v>81</v>
      </c>
      <c r="B82" s="6">
        <v>275327.82500000001</v>
      </c>
      <c r="C82" s="6">
        <v>241410.17199999999</v>
      </c>
      <c r="D82" s="6">
        <v>33917.652999999998</v>
      </c>
      <c r="E82" s="1">
        <f t="shared" si="5"/>
        <v>2026</v>
      </c>
      <c r="F82" s="1">
        <f t="shared" si="6"/>
        <v>1</v>
      </c>
      <c r="G82" s="1">
        <f t="shared" si="9"/>
        <v>6.5236813160787055E-2</v>
      </c>
      <c r="H82" s="1">
        <f t="shared" si="7"/>
        <v>87.680993375805727</v>
      </c>
      <c r="I82" s="1">
        <f t="shared" si="8"/>
        <v>12.319006624194266</v>
      </c>
    </row>
    <row r="83" spans="1:9" x14ac:dyDescent="0.2">
      <c r="A83" s="1" t="s">
        <v>82</v>
      </c>
      <c r="B83" s="6">
        <v>274327.55699999997</v>
      </c>
      <c r="C83" s="6">
        <v>240435.28400000001</v>
      </c>
      <c r="D83" s="6">
        <v>33892.273000000001</v>
      </c>
      <c r="E83" s="1">
        <f t="shared" si="5"/>
        <v>2026</v>
      </c>
      <c r="F83" s="1">
        <f t="shared" si="6"/>
        <v>1</v>
      </c>
      <c r="G83" s="1">
        <f t="shared" si="9"/>
        <v>-0.36330073068351881</v>
      </c>
      <c r="H83" s="1">
        <f t="shared" si="7"/>
        <v>87.645326860108355</v>
      </c>
      <c r="I83" s="1">
        <f t="shared" si="8"/>
        <v>12.354673139891668</v>
      </c>
    </row>
    <row r="84" spans="1:9" x14ac:dyDescent="0.2">
      <c r="A84" s="1" t="s">
        <v>83</v>
      </c>
      <c r="B84" s="6">
        <v>271160.065</v>
      </c>
      <c r="C84" s="6">
        <v>237487.516</v>
      </c>
      <c r="D84" s="6">
        <v>33672.548999999999</v>
      </c>
      <c r="E84" s="1">
        <f t="shared" si="5"/>
        <v>2026</v>
      </c>
      <c r="F84" s="1">
        <f t="shared" si="6"/>
        <v>1</v>
      </c>
      <c r="G84" s="1">
        <f t="shared" si="9"/>
        <v>-1.1546386497365153</v>
      </c>
      <c r="H84" s="1">
        <f t="shared" si="7"/>
        <v>87.582039781558535</v>
      </c>
      <c r="I84" s="1">
        <f t="shared" si="8"/>
        <v>12.417960218441458</v>
      </c>
    </row>
    <row r="85" spans="1:9" x14ac:dyDescent="0.2">
      <c r="A85" s="1" t="s">
        <v>84</v>
      </c>
      <c r="B85" s="6">
        <v>273525.24</v>
      </c>
      <c r="C85" s="6">
        <v>239450.42600000001</v>
      </c>
      <c r="D85" s="6">
        <v>34074.813999999998</v>
      </c>
      <c r="E85" s="1">
        <f t="shared" si="5"/>
        <v>2026</v>
      </c>
      <c r="F85" s="1">
        <f t="shared" si="6"/>
        <v>1</v>
      </c>
      <c r="G85" s="1">
        <f t="shared" si="9"/>
        <v>0.87224311588802295</v>
      </c>
      <c r="H85" s="1">
        <f t="shared" si="7"/>
        <v>87.542351119041157</v>
      </c>
      <c r="I85" s="1">
        <f t="shared" si="8"/>
        <v>12.457648880958846</v>
      </c>
    </row>
    <row r="86" spans="1:9" x14ac:dyDescent="0.2">
      <c r="A86" s="1" t="s">
        <v>85</v>
      </c>
      <c r="B86" s="6">
        <v>272319.16800000001</v>
      </c>
      <c r="C86" s="6">
        <v>238793.234</v>
      </c>
      <c r="D86" s="6">
        <v>33525.934000000001</v>
      </c>
      <c r="E86" s="1">
        <f t="shared" si="5"/>
        <v>2026</v>
      </c>
      <c r="F86" s="1">
        <f t="shared" si="6"/>
        <v>2</v>
      </c>
      <c r="G86" s="1">
        <f t="shared" si="9"/>
        <v>-0.44093627337644808</v>
      </c>
      <c r="H86" s="1">
        <f t="shared" si="7"/>
        <v>87.688735153597406</v>
      </c>
      <c r="I86" s="1">
        <f t="shared" si="8"/>
        <v>12.311264846402587</v>
      </c>
    </row>
    <row r="87" spans="1:9" x14ac:dyDescent="0.2">
      <c r="A87" s="1" t="s">
        <v>86</v>
      </c>
      <c r="B87" s="6">
        <v>271884.76899999997</v>
      </c>
      <c r="C87" s="6">
        <v>238240.47399999999</v>
      </c>
      <c r="D87" s="6">
        <v>33644.294999999998</v>
      </c>
      <c r="E87" s="1">
        <f t="shared" si="5"/>
        <v>2026</v>
      </c>
      <c r="F87" s="1">
        <f t="shared" si="6"/>
        <v>2</v>
      </c>
      <c r="G87" s="1">
        <f t="shared" si="9"/>
        <v>-0.1595183340160741</v>
      </c>
      <c r="H87" s="1">
        <f t="shared" si="7"/>
        <v>87.625531535383658</v>
      </c>
      <c r="I87" s="1">
        <f t="shared" si="8"/>
        <v>12.374468464616346</v>
      </c>
    </row>
    <row r="88" spans="1:9" x14ac:dyDescent="0.2">
      <c r="A88" s="1" t="s">
        <v>87</v>
      </c>
      <c r="B88" s="6">
        <v>273105.46899999998</v>
      </c>
      <c r="C88" s="6">
        <v>239778.11199999999</v>
      </c>
      <c r="D88" s="6">
        <v>33327.357000000004</v>
      </c>
      <c r="E88" s="1">
        <f t="shared" si="5"/>
        <v>2026</v>
      </c>
      <c r="F88" s="1">
        <f t="shared" si="6"/>
        <v>2</v>
      </c>
      <c r="G88" s="1">
        <f t="shared" si="9"/>
        <v>0.44897697082840698</v>
      </c>
      <c r="H88" s="1">
        <f t="shared" si="7"/>
        <v>87.796891390702982</v>
      </c>
      <c r="I88" s="1">
        <f t="shared" si="8"/>
        <v>12.203108609297022</v>
      </c>
    </row>
    <row r="89" spans="1:9" x14ac:dyDescent="0.2">
      <c r="A89" s="1" t="s">
        <v>88</v>
      </c>
      <c r="B89" s="6">
        <v>276634.73700000002</v>
      </c>
      <c r="C89" s="6">
        <v>242731.57500000001</v>
      </c>
      <c r="D89" s="6">
        <v>33903.161999999997</v>
      </c>
      <c r="E89" s="1">
        <f t="shared" si="5"/>
        <v>2026</v>
      </c>
      <c r="F89" s="1">
        <f t="shared" si="6"/>
        <v>2</v>
      </c>
      <c r="G89" s="1">
        <f t="shared" si="9"/>
        <v>1.2922729130700932</v>
      </c>
      <c r="H89" s="1">
        <f t="shared" si="7"/>
        <v>87.74443066417939</v>
      </c>
      <c r="I89" s="1">
        <f t="shared" si="8"/>
        <v>12.255569335820612</v>
      </c>
    </row>
    <row r="90" spans="1:9" x14ac:dyDescent="0.2">
      <c r="A90" s="1" t="s">
        <v>89</v>
      </c>
      <c r="B90" s="6">
        <v>273458.408</v>
      </c>
      <c r="C90" s="6">
        <v>240131.22899999999</v>
      </c>
      <c r="D90" s="6">
        <v>33327.178999999996</v>
      </c>
      <c r="E90" s="1">
        <f t="shared" si="5"/>
        <v>2026</v>
      </c>
      <c r="F90" s="1">
        <f t="shared" si="6"/>
        <v>3</v>
      </c>
      <c r="G90" s="1">
        <f t="shared" si="9"/>
        <v>-1.1482032352285632</v>
      </c>
      <c r="H90" s="1">
        <f t="shared" si="7"/>
        <v>87.812706420787762</v>
      </c>
      <c r="I90" s="1">
        <f t="shared" si="8"/>
        <v>12.187293579212236</v>
      </c>
    </row>
    <row r="91" spans="1:9" x14ac:dyDescent="0.2">
      <c r="A91" s="1" t="s">
        <v>90</v>
      </c>
      <c r="B91" s="6">
        <v>274306.663</v>
      </c>
      <c r="C91" s="6">
        <v>241160.25</v>
      </c>
      <c r="D91" s="6">
        <v>33146.413</v>
      </c>
      <c r="E91" s="1">
        <f t="shared" si="5"/>
        <v>2026</v>
      </c>
      <c r="F91" s="1">
        <f t="shared" si="6"/>
        <v>3</v>
      </c>
      <c r="G91" s="1">
        <f t="shared" si="9"/>
        <v>0.31019525280056653</v>
      </c>
      <c r="H91" s="1">
        <f t="shared" si="7"/>
        <v>87.916293159820185</v>
      </c>
      <c r="I91" s="1">
        <f t="shared" si="8"/>
        <v>12.083706840179817</v>
      </c>
    </row>
    <row r="92" spans="1:9" x14ac:dyDescent="0.2">
      <c r="A92" s="1" t="s">
        <v>91</v>
      </c>
      <c r="B92" s="6">
        <v>273717.86599999998</v>
      </c>
      <c r="C92" s="6">
        <v>240782.54699999999</v>
      </c>
      <c r="D92" s="6">
        <v>32935.319000000003</v>
      </c>
      <c r="E92" s="1">
        <f t="shared" si="5"/>
        <v>2026</v>
      </c>
      <c r="F92" s="1">
        <f t="shared" si="6"/>
        <v>3</v>
      </c>
      <c r="G92" s="1">
        <f t="shared" si="9"/>
        <v>-0.21464917897383354</v>
      </c>
      <c r="H92" s="1">
        <f t="shared" si="7"/>
        <v>87.967420804018687</v>
      </c>
      <c r="I92" s="1">
        <f t="shared" si="8"/>
        <v>12.032579195981311</v>
      </c>
    </row>
    <row r="93" spans="1:9" x14ac:dyDescent="0.2">
      <c r="A93" s="1" t="s">
        <v>92</v>
      </c>
      <c r="B93" s="6">
        <v>274572.234</v>
      </c>
      <c r="C93" s="6">
        <v>240779.802</v>
      </c>
      <c r="D93" s="6">
        <v>33792.432000000001</v>
      </c>
      <c r="E93" s="1">
        <f t="shared" si="5"/>
        <v>2026</v>
      </c>
      <c r="F93" s="1">
        <f t="shared" si="6"/>
        <v>3</v>
      </c>
      <c r="G93" s="1">
        <f t="shared" si="9"/>
        <v>0.31213453929237372</v>
      </c>
      <c r="H93" s="1">
        <f t="shared" si="7"/>
        <v>87.692698745350924</v>
      </c>
      <c r="I93" s="1">
        <f t="shared" si="8"/>
        <v>12.307301254649078</v>
      </c>
    </row>
    <row r="94" spans="1:9" x14ac:dyDescent="0.2">
      <c r="A94" s="1" t="s">
        <v>93</v>
      </c>
      <c r="B94" s="6">
        <v>279308.261</v>
      </c>
      <c r="C94" s="6">
        <v>244250.307</v>
      </c>
      <c r="D94" s="6">
        <v>35057.953999999998</v>
      </c>
      <c r="E94" s="1">
        <f t="shared" si="5"/>
        <v>2026</v>
      </c>
      <c r="F94" s="1">
        <f t="shared" si="6"/>
        <v>4</v>
      </c>
      <c r="G94" s="1">
        <f t="shared" si="9"/>
        <v>1.7248747009138594</v>
      </c>
      <c r="H94" s="1">
        <f t="shared" si="7"/>
        <v>87.448293196025446</v>
      </c>
      <c r="I94" s="1">
        <f t="shared" si="8"/>
        <v>12.551706803974552</v>
      </c>
    </row>
    <row r="95" spans="1:9" x14ac:dyDescent="0.2">
      <c r="A95" s="1" t="s">
        <v>94</v>
      </c>
      <c r="B95" s="6">
        <v>278734.33399999997</v>
      </c>
      <c r="C95" s="6">
        <v>243279.41099999999</v>
      </c>
      <c r="D95" s="6">
        <v>35454.923000000003</v>
      </c>
      <c r="E95" s="1">
        <f t="shared" si="5"/>
        <v>2026</v>
      </c>
      <c r="F95" s="1">
        <f t="shared" si="6"/>
        <v>4</v>
      </c>
      <c r="G95" s="1">
        <f t="shared" si="9"/>
        <v>-0.20548157005639917</v>
      </c>
      <c r="H95" s="1">
        <f t="shared" si="7"/>
        <v>87.280030238398993</v>
      </c>
      <c r="I95" s="1">
        <f t="shared" si="8"/>
        <v>12.719969761601025</v>
      </c>
    </row>
    <row r="96" spans="1:9" x14ac:dyDescent="0.2">
      <c r="A96" s="9"/>
      <c r="B96" s="5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B5BC-3E61-5244-9604-094900C2118D}">
  <dimension ref="A1:E12"/>
  <sheetViews>
    <sheetView showGridLines="0" workbookViewId="0">
      <selection activeCell="N28" sqref="N28"/>
    </sheetView>
  </sheetViews>
  <sheetFormatPr baseColWidth="10" defaultRowHeight="15" x14ac:dyDescent="0.2"/>
  <cols>
    <col min="1" max="1" width="15.6640625" bestFit="1" customWidth="1"/>
  </cols>
  <sheetData>
    <row r="1" spans="1:5" x14ac:dyDescent="0.2">
      <c r="A1" s="10" t="s">
        <v>103</v>
      </c>
      <c r="B1" s="10"/>
      <c r="C1" s="10"/>
      <c r="D1" s="10"/>
      <c r="E1" s="10"/>
    </row>
    <row r="3" spans="1:5" x14ac:dyDescent="0.2">
      <c r="A3" s="4" t="s">
        <v>104</v>
      </c>
      <c r="B3" s="1" t="s">
        <v>97</v>
      </c>
      <c r="C3" s="1" t="s">
        <v>95</v>
      </c>
      <c r="D3" s="1" t="s">
        <v>96</v>
      </c>
    </row>
    <row r="4" spans="1:5" x14ac:dyDescent="0.2">
      <c r="A4" s="4" t="s">
        <v>105</v>
      </c>
      <c r="B4" s="2">
        <f>ROWS('1. Ham Veri'!B2:B95)</f>
        <v>94</v>
      </c>
      <c r="C4" s="2">
        <f>ROWS('1. Ham Veri'!C2:C95)</f>
        <v>94</v>
      </c>
      <c r="D4" s="2">
        <f>ROWS('1. Ham Veri'!D2:D95)</f>
        <v>94</v>
      </c>
    </row>
    <row r="5" spans="1:5" x14ac:dyDescent="0.2">
      <c r="A5" s="4" t="s">
        <v>106</v>
      </c>
      <c r="B5" s="6">
        <f>MIN('1. Ham Veri'!B2:B95)</f>
        <v>114932.29300000001</v>
      </c>
      <c r="C5" s="6">
        <f>MIN('1. Ham Veri'!C2:C95)</f>
        <v>96041.429000000004</v>
      </c>
      <c r="D5" s="6">
        <f>MIN('1. Ham Veri'!D2:D95)</f>
        <v>18890.864000000001</v>
      </c>
    </row>
    <row r="6" spans="1:5" x14ac:dyDescent="0.2">
      <c r="A6" s="4" t="s">
        <v>107</v>
      </c>
      <c r="B6" s="6">
        <f>MAX('1. Ham Veri'!B2:B95)</f>
        <v>279308.261</v>
      </c>
      <c r="C6" s="6">
        <f>MAX('1. Ham Veri'!C2:C95)</f>
        <v>244250.307</v>
      </c>
      <c r="D6" s="6">
        <f>MAX('1. Ham Veri'!D2:D95)</f>
        <v>35454.923000000003</v>
      </c>
    </row>
    <row r="7" spans="1:5" x14ac:dyDescent="0.2">
      <c r="A7" s="4" t="s">
        <v>108</v>
      </c>
      <c r="B7" s="6">
        <f>AVERAGE('1. Ham Veri'!B2:B95)</f>
        <v>185450.88565957447</v>
      </c>
      <c r="C7" s="6">
        <f>AVERAGE('1. Ham Veri'!C2:C95)</f>
        <v>158938.66041489359</v>
      </c>
      <c r="D7" s="6">
        <f>AVERAGE('1. Ham Veri'!D2:D95)</f>
        <v>26512.225244680842</v>
      </c>
    </row>
    <row r="8" spans="1:5" x14ac:dyDescent="0.2">
      <c r="A8" s="4" t="s">
        <v>109</v>
      </c>
      <c r="B8" s="6">
        <f>MEDIAN('1. Ham Veri'!B2:B95)</f>
        <v>176483.89049999998</v>
      </c>
      <c r="C8" s="6">
        <f>MEDIAN('1. Ham Veri'!C2:C95)</f>
        <v>150015.42300000001</v>
      </c>
      <c r="D8" s="6">
        <f>MEDIAN('1. Ham Veri'!D2:D95)</f>
        <v>26701.174500000001</v>
      </c>
    </row>
    <row r="9" spans="1:5" x14ac:dyDescent="0.2">
      <c r="A9" s="4" t="s">
        <v>110</v>
      </c>
      <c r="B9" s="6">
        <f>STDEV('1. Ham Veri'!B2:B95)</f>
        <v>52774.555247845077</v>
      </c>
      <c r="C9" s="6">
        <f>STDEV('1. Ham Veri'!C2:C95)</f>
        <v>47513.359366483448</v>
      </c>
      <c r="D9" s="6">
        <f>STDEV('1. Ham Veri'!D2:D95)</f>
        <v>5680.1480948606368</v>
      </c>
    </row>
    <row r="10" spans="1:5" x14ac:dyDescent="0.2">
      <c r="A10" s="4" t="s">
        <v>111</v>
      </c>
      <c r="B10" s="6">
        <f>'1. Ham Veri'!B2</f>
        <v>117010.90300000001</v>
      </c>
      <c r="C10" s="6">
        <f>'1. Ham Veri'!C2</f>
        <v>98030.73</v>
      </c>
      <c r="D10" s="6">
        <f>'1. Ham Veri'!D2</f>
        <v>18980.172999999999</v>
      </c>
    </row>
    <row r="11" spans="1:5" x14ac:dyDescent="0.2">
      <c r="A11" s="4" t="s">
        <v>112</v>
      </c>
      <c r="B11" s="6">
        <f>'1. Ham Veri'!B95</f>
        <v>278734.33399999997</v>
      </c>
      <c r="C11" s="6">
        <f>'1. Ham Veri'!C95</f>
        <v>243279.41099999999</v>
      </c>
      <c r="D11" s="6">
        <f>'1. Ham Veri'!D95</f>
        <v>35454.923000000003</v>
      </c>
    </row>
    <row r="12" spans="1:5" x14ac:dyDescent="0.2">
      <c r="A12" s="4" t="s">
        <v>113</v>
      </c>
      <c r="B12" s="6">
        <f>(B11-B10)/B10*100</f>
        <v>138.21227497064953</v>
      </c>
      <c r="C12" s="6">
        <f>(C11-C10)/C10*100</f>
        <v>148.1664790214252</v>
      </c>
      <c r="D12" s="6">
        <f>(D11-D10)/D10*100</f>
        <v>86.799788389705441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CFCB-661F-6F47-9136-C46AF0182FF2}">
  <dimension ref="A1:E18"/>
  <sheetViews>
    <sheetView showGridLines="0" workbookViewId="0">
      <selection activeCell="B19" sqref="B19"/>
    </sheetView>
  </sheetViews>
  <sheetFormatPr baseColWidth="10" defaultRowHeight="15" x14ac:dyDescent="0.2"/>
  <cols>
    <col min="1" max="1" width="23.6640625" bestFit="1" customWidth="1"/>
  </cols>
  <sheetData>
    <row r="1" spans="1:5" x14ac:dyDescent="0.2">
      <c r="A1" s="11" t="s">
        <v>114</v>
      </c>
      <c r="B1" s="11"/>
      <c r="C1" s="11"/>
      <c r="D1" s="11"/>
      <c r="E1" s="11"/>
    </row>
    <row r="3" spans="1:5" x14ac:dyDescent="0.2">
      <c r="A3" t="s">
        <v>115</v>
      </c>
      <c r="B3" s="1" t="s">
        <v>97</v>
      </c>
      <c r="C3" s="1" t="s">
        <v>95</v>
      </c>
      <c r="D3" s="1" t="s">
        <v>96</v>
      </c>
    </row>
    <row r="4" spans="1:5" x14ac:dyDescent="0.2">
      <c r="A4" t="s">
        <v>116</v>
      </c>
      <c r="B4" s="6">
        <f>'1. Ham Veri'!B2</f>
        <v>117010.90300000001</v>
      </c>
      <c r="C4" s="6">
        <f>'1. Ham Veri'!C2</f>
        <v>98030.73</v>
      </c>
      <c r="D4" s="6">
        <f>'1. Ham Veri'!D2</f>
        <v>18980.172999999999</v>
      </c>
    </row>
    <row r="5" spans="1:5" x14ac:dyDescent="0.2">
      <c r="A5" t="s">
        <v>117</v>
      </c>
      <c r="B5" s="6">
        <f>'1. Ham Veri'!B95</f>
        <v>278734.33399999997</v>
      </c>
      <c r="C5" s="6">
        <f>'1. Ham Veri'!C95</f>
        <v>243279.41099999999</v>
      </c>
      <c r="D5" s="6">
        <f>'1. Ham Veri'!D95</f>
        <v>35454.923000000003</v>
      </c>
    </row>
    <row r="6" spans="1:5" x14ac:dyDescent="0.2">
      <c r="A6" t="s">
        <v>118</v>
      </c>
      <c r="B6" s="6">
        <f>B5-B4</f>
        <v>161723.43099999998</v>
      </c>
      <c r="C6" s="6">
        <f>C5-C4</f>
        <v>145248.68099999998</v>
      </c>
      <c r="D6" s="6">
        <f>D5-D4</f>
        <v>16474.750000000004</v>
      </c>
    </row>
    <row r="7" spans="1:5" x14ac:dyDescent="0.2">
      <c r="A7" t="s">
        <v>113</v>
      </c>
      <c r="B7" s="6">
        <f>(B5-B4)/B4*100</f>
        <v>138.21227497064953</v>
      </c>
      <c r="C7" s="6">
        <f>(C5-C4)/C4*100</f>
        <v>148.1664790214252</v>
      </c>
      <c r="D7" s="6">
        <f>(D5-D4)/D4*100</f>
        <v>86.799788389705441</v>
      </c>
    </row>
    <row r="8" spans="1:5" x14ac:dyDescent="0.2">
      <c r="A8" t="s">
        <v>119</v>
      </c>
      <c r="B8" s="6">
        <f>AVERAGE('1. Ham Veri'!G3:G95)</f>
        <v>0.94795726241891887</v>
      </c>
      <c r="C8" s="6"/>
      <c r="D8" s="6"/>
    </row>
    <row r="9" spans="1:5" x14ac:dyDescent="0.2">
      <c r="A9" t="s">
        <v>120</v>
      </c>
      <c r="B9" s="6">
        <f>MAX('1. Ham Veri'!G3:G95)</f>
        <v>5.8964137159127024</v>
      </c>
      <c r="C9" s="6"/>
      <c r="D9" s="6"/>
    </row>
    <row r="10" spans="1:5" x14ac:dyDescent="0.2">
      <c r="A10" t="s">
        <v>121</v>
      </c>
      <c r="B10" s="6">
        <f>MIN('1. Ham Veri'!G3:G95)</f>
        <v>-1.7764242021104653</v>
      </c>
      <c r="C10" s="6"/>
      <c r="D10" s="6"/>
    </row>
    <row r="13" spans="1:5" x14ac:dyDescent="0.2">
      <c r="A13" s="4" t="s">
        <v>100</v>
      </c>
      <c r="B13" s="1" t="s">
        <v>124</v>
      </c>
      <c r="C13" s="1" t="s">
        <v>125</v>
      </c>
      <c r="D13" s="1" t="s">
        <v>126</v>
      </c>
    </row>
    <row r="14" spans="1:5" x14ac:dyDescent="0.2">
      <c r="A14" s="4">
        <v>2024</v>
      </c>
      <c r="B14" s="6">
        <f>AVERAGEIF('1. Ham Veri'!E2:E95,2024,'1. Ham Veri'!B2:B95)</f>
        <v>127294.62662962964</v>
      </c>
      <c r="C14" s="6">
        <f>AVERAGEIF('1. Ham Veri'!E2:E95,2024,'1. Ham Veri'!C2:C95)</f>
        <v>106924.3402962963</v>
      </c>
      <c r="D14" s="6">
        <f>AVERAGEIF('1. Ham Veri'!E2:E95,2024,'1. Ham Veri'!D2:D95)</f>
        <v>20370.286333333333</v>
      </c>
    </row>
    <row r="15" spans="1:5" x14ac:dyDescent="0.2">
      <c r="A15" s="4">
        <v>2025</v>
      </c>
      <c r="B15" s="6">
        <f>AVERAGEIF('1. Ham Veri'!E2:E95,2025,'1. Ham Veri'!B2:B95)</f>
        <v>189959.56557692308</v>
      </c>
      <c r="C15" s="6">
        <f>AVERAGEIF('1. Ham Veri'!E2:E95,2025,'1. Ham Veri'!C2:C95)</f>
        <v>162371.9989230769</v>
      </c>
      <c r="D15" s="6">
        <f>AVERAGEIF('1. Ham Veri'!E2:E95,2025,'1. Ham Veri'!D2:D95)</f>
        <v>27587.566653846148</v>
      </c>
    </row>
    <row r="16" spans="1:5" x14ac:dyDescent="0.2">
      <c r="A16" s="4">
        <v>2026</v>
      </c>
      <c r="B16" s="6">
        <f>AVERAGEIF('1. Ham Veri'!E2:E95,2026,'1. Ham Veri'!B2:B95)</f>
        <v>274502.06153333333</v>
      </c>
      <c r="C16" s="6">
        <f>AVERAGEIF('1. Ham Veri'!E2:E95,2026,'1. Ham Veri'!C2:C95)</f>
        <v>240662.19646666665</v>
      </c>
      <c r="D16" s="6">
        <f>AVERAGEIF('1. Ham Veri'!E2:E95,2026,'1. Ham Veri'!D2:D95)</f>
        <v>33839.865066666673</v>
      </c>
    </row>
    <row r="17" spans="1:4" x14ac:dyDescent="0.2">
      <c r="A17" s="4" t="s">
        <v>122</v>
      </c>
      <c r="B17" s="6">
        <f t="shared" ref="B17:D18" si="0">(B15-B14)/B14*100</f>
        <v>49.22826721478225</v>
      </c>
      <c r="C17" s="6">
        <f t="shared" si="0"/>
        <v>51.856909729936596</v>
      </c>
      <c r="D17" s="6">
        <f t="shared" si="0"/>
        <v>35.430431376424352</v>
      </c>
    </row>
    <row r="18" spans="1:4" x14ac:dyDescent="0.2">
      <c r="A18" s="4" t="s">
        <v>123</v>
      </c>
      <c r="B18" s="6">
        <f t="shared" si="0"/>
        <v>44.505521846003184</v>
      </c>
      <c r="C18" s="6">
        <f t="shared" si="0"/>
        <v>48.216563239256189</v>
      </c>
      <c r="D18" s="6">
        <f t="shared" si="0"/>
        <v>22.663464637062702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B4F8-C928-3D4D-9D21-5147A632805A}">
  <dimension ref="A1:D29"/>
  <sheetViews>
    <sheetView showGridLines="0" workbookViewId="0">
      <selection activeCell="O10" sqref="O10"/>
    </sheetView>
  </sheetViews>
  <sheetFormatPr baseColWidth="10" defaultRowHeight="15" x14ac:dyDescent="0.2"/>
  <cols>
    <col min="2" max="2" width="14.83203125" bestFit="1" customWidth="1"/>
  </cols>
  <sheetData>
    <row r="1" spans="1:4" x14ac:dyDescent="0.2">
      <c r="A1" t="s">
        <v>127</v>
      </c>
    </row>
    <row r="3" spans="1:4" x14ac:dyDescent="0.2">
      <c r="A3" s="4" t="s">
        <v>101</v>
      </c>
      <c r="B3" s="1" t="s">
        <v>124</v>
      </c>
      <c r="C3" s="1" t="s">
        <v>125</v>
      </c>
      <c r="D3" s="1" t="s">
        <v>126</v>
      </c>
    </row>
    <row r="4" spans="1:4" x14ac:dyDescent="0.2">
      <c r="A4" s="4" t="s">
        <v>128</v>
      </c>
      <c r="B4" s="6">
        <f>AVERAGEIF('1. Ham Veri'!$F$2:$F$95,1,'1. Ham Veri'!$B$2:$B$95)</f>
        <v>212859.05269999997</v>
      </c>
      <c r="C4" s="6">
        <f>AVERAGEIF('1. Ham Veri'!$F$2:$F$95,1,'1. Ham Veri'!$C$2:$C$95)</f>
        <v>185714.45560000002</v>
      </c>
      <c r="D4" s="6">
        <f>AVERAGEIF('1. Ham Veri'!$F$2:$F$95,1,'1. Ham Veri'!$D$2:$D$95)</f>
        <v>27144.597100000003</v>
      </c>
    </row>
    <row r="5" spans="1:4" x14ac:dyDescent="0.2">
      <c r="A5" s="7" t="s">
        <v>129</v>
      </c>
      <c r="B5" s="6">
        <f>AVERAGEIF('1. Ham Veri'!$F$2:$F$95,2,'1. Ham Veri'!$B$2:$B$95)</f>
        <v>212860.89112499999</v>
      </c>
      <c r="C5" s="6">
        <f>AVERAGEIF('1. Ham Veri'!$F$2:$F$95,2,'1. Ham Veri'!$C$2:$C$95)</f>
        <v>185879.74537499997</v>
      </c>
      <c r="D5" s="6">
        <f>AVERAGEIF('1. Ham Veri'!$F$2:$F$95,2,'1. Ham Veri'!$D$2:$D$95)</f>
        <v>26981.145750000003</v>
      </c>
    </row>
    <row r="6" spans="1:4" x14ac:dyDescent="0.2">
      <c r="A6" s="4" t="s">
        <v>130</v>
      </c>
      <c r="B6" s="6">
        <f>AVERAGEIF('1. Ham Veri'!$F$2:$F$95,3,'1. Ham Veri'!$B$2:$B$95)</f>
        <v>217652.89287499999</v>
      </c>
      <c r="C6" s="6">
        <f>AVERAGEIF('1. Ham Veri'!$F$2:$F$95,3,'1. Ham Veri'!$C$2:$C$95)</f>
        <v>190196.02399999998</v>
      </c>
      <c r="D6" s="6">
        <f>AVERAGEIF('1. Ham Veri'!$F$2:$F$95,3,'1. Ham Veri'!$D$2:$D$95)</f>
        <v>27456.868875000004</v>
      </c>
    </row>
    <row r="7" spans="1:4" x14ac:dyDescent="0.2">
      <c r="A7" s="4" t="s">
        <v>131</v>
      </c>
      <c r="B7" s="6">
        <f>AVERAGEIF('1. Ham Veri'!$F$2:$F$95,4,'1. Ham Veri'!$B$2:$B$95)</f>
        <v>205647.27816666666</v>
      </c>
      <c r="C7" s="6">
        <f>AVERAGEIF('1. Ham Veri'!$F$2:$F$95,4,'1. Ham Veri'!$C$2:$C$95)</f>
        <v>177707.6168333333</v>
      </c>
      <c r="D7" s="6">
        <f>AVERAGEIF('1. Ham Veri'!$F$2:$F$95,4,'1. Ham Veri'!$D$2:$D$95)</f>
        <v>27939.661333333333</v>
      </c>
    </row>
    <row r="8" spans="1:4" x14ac:dyDescent="0.2">
      <c r="A8" s="4" t="s">
        <v>132</v>
      </c>
      <c r="B8" s="6">
        <f>AVERAGEIF('1. Ham Veri'!$F$2:$F$95,5,'1. Ham Veri'!$B$2:$B$95)</f>
        <v>177100.81999999998</v>
      </c>
      <c r="C8" s="6">
        <f>AVERAGEIF('1. Ham Veri'!$F$2:$F$95,5,'1. Ham Veri'!$C$2:$C$95)</f>
        <v>150479.79620000001</v>
      </c>
      <c r="D8" s="6">
        <f>AVERAGEIF('1. Ham Veri'!$F$2:$F$95,5,'1. Ham Veri'!$D$2:$D$95)</f>
        <v>26621.023800000003</v>
      </c>
    </row>
    <row r="9" spans="1:4" x14ac:dyDescent="0.2">
      <c r="A9" s="4" t="s">
        <v>133</v>
      </c>
      <c r="B9" s="6">
        <f>AVERAGEIF('1. Ham Veri'!$F$2:$F$95,6,'1. Ham Veri'!$B$2:$B$95)</f>
        <v>170559.62600000002</v>
      </c>
      <c r="C9" s="6">
        <f>AVERAGEIF('1. Ham Veri'!$F$2:$F$95,6,'1. Ham Veri'!$C$2:$C$95)</f>
        <v>143984.0484</v>
      </c>
      <c r="D9" s="6">
        <f>AVERAGEIF('1. Ham Veri'!$F$2:$F$95,6,'1. Ham Veri'!$D$2:$D$95)</f>
        <v>26575.577600000001</v>
      </c>
    </row>
    <row r="10" spans="1:4" x14ac:dyDescent="0.2">
      <c r="A10" s="4" t="s">
        <v>134</v>
      </c>
      <c r="B10" s="6">
        <f>AVERAGEIF('1. Ham Veri'!$F$2:$F$95,7,'1. Ham Veri'!$B$2:$B$95)</f>
        <v>154693.20275</v>
      </c>
      <c r="C10" s="6">
        <f>AVERAGEIF('1. Ham Veri'!$F$2:$F$95,7,'1. Ham Veri'!$C$2:$C$95)</f>
        <v>129354.66775000001</v>
      </c>
      <c r="D10" s="6">
        <f>AVERAGEIF('1. Ham Veri'!$F$2:$F$95,7,'1. Ham Veri'!$D$2:$D$95)</f>
        <v>25338.535</v>
      </c>
    </row>
    <row r="11" spans="1:4" x14ac:dyDescent="0.2">
      <c r="A11" s="4" t="s">
        <v>135</v>
      </c>
      <c r="B11" s="6">
        <f>AVERAGEIF('1. Ham Veri'!$F$2:$F$95,8,'1. Ham Veri'!$B$2:$B$95)</f>
        <v>159409.68919999999</v>
      </c>
      <c r="C11" s="6">
        <f>AVERAGEIF('1. Ham Veri'!$F$2:$F$95,8,'1. Ham Veri'!$C$2:$C$95)</f>
        <v>133531.29920000001</v>
      </c>
      <c r="D11" s="6">
        <f>AVERAGEIF('1. Ham Veri'!$F$2:$F$95,8,'1. Ham Veri'!$D$2:$D$95)</f>
        <v>25878.39</v>
      </c>
    </row>
    <row r="12" spans="1:4" x14ac:dyDescent="0.2">
      <c r="A12" s="4" t="s">
        <v>136</v>
      </c>
      <c r="B12" s="6">
        <f>AVERAGEIF('1. Ham Veri'!$F$2:$F$95,9,'1. Ham Veri'!$B$2:$B$95)</f>
        <v>162824.56512499999</v>
      </c>
      <c r="C12" s="6">
        <f>AVERAGEIF('1. Ham Veri'!$F$2:$F$95,9,'1. Ham Veri'!$C$2:$C$95)</f>
        <v>136739.52549999999</v>
      </c>
      <c r="D12" s="6">
        <f>AVERAGEIF('1. Ham Veri'!$F$2:$F$95,9,'1. Ham Veri'!$D$2:$D$95)</f>
        <v>26085.039624999998</v>
      </c>
    </row>
    <row r="13" spans="1:4" x14ac:dyDescent="0.2">
      <c r="A13" s="4" t="s">
        <v>137</v>
      </c>
      <c r="B13" s="6">
        <f>AVERAGEIF('1. Ham Veri'!$F$2:$F$95,10,'1. Ham Veri'!$B$2:$B$95)</f>
        <v>176872.69611111109</v>
      </c>
      <c r="C13" s="6">
        <f>AVERAGEIF('1. Ham Veri'!$F$2:$F$95,10,'1. Ham Veri'!$C$2:$C$95)</f>
        <v>150159.30077777777</v>
      </c>
      <c r="D13" s="6">
        <f>AVERAGEIF('1. Ham Veri'!$F$2:$F$95,10,'1. Ham Veri'!$D$2:$D$95)</f>
        <v>26713.395333333334</v>
      </c>
    </row>
    <row r="14" spans="1:4" x14ac:dyDescent="0.2">
      <c r="A14" s="4" t="s">
        <v>138</v>
      </c>
      <c r="B14" s="6">
        <f>AVERAGEIF('1. Ham Veri'!$F$2:$F$95,11,'1. Ham Veri'!$B$2:$B$95)</f>
        <v>175948.20499999999</v>
      </c>
      <c r="C14" s="6">
        <f>AVERAGEIF('1. Ham Veri'!$F$2:$F$95,11,'1. Ham Veri'!$C$2:$C$95)</f>
        <v>150611.16700000002</v>
      </c>
      <c r="D14" s="6">
        <f>AVERAGEIF('1. Ham Veri'!$F$2:$F$95,11,'1. Ham Veri'!$D$2:$D$95)</f>
        <v>25337.037999999997</v>
      </c>
    </row>
    <row r="15" spans="1:4" x14ac:dyDescent="0.2">
      <c r="A15" s="4" t="s">
        <v>139</v>
      </c>
      <c r="B15" s="6">
        <f>AVERAGEIF('1. Ham Veri'!$F$2:$F$95,12,'1. Ham Veri'!$B$2:$B$95)</f>
        <v>197233.676125</v>
      </c>
      <c r="C15" s="6">
        <f>AVERAGEIF('1. Ham Veri'!$F$2:$F$95,12,'1. Ham Veri'!$C$2:$C$95)</f>
        <v>170614.712</v>
      </c>
      <c r="D15" s="6">
        <f>AVERAGEIF('1. Ham Veri'!$F$2:$F$95,12,'1. Ham Veri'!$D$2:$D$95)</f>
        <v>26618.964124999999</v>
      </c>
    </row>
    <row r="17" spans="1:2" x14ac:dyDescent="0.2">
      <c r="A17" s="4" t="s">
        <v>101</v>
      </c>
      <c r="B17" s="1" t="s">
        <v>140</v>
      </c>
    </row>
    <row r="18" spans="1:2" x14ac:dyDescent="0.2">
      <c r="A18" s="4" t="s">
        <v>128</v>
      </c>
      <c r="B18" s="6">
        <f>B4/AVERAGE($B$4:$B$15)*100</f>
        <v>114.86943378636938</v>
      </c>
    </row>
    <row r="19" spans="1:2" x14ac:dyDescent="0.2">
      <c r="A19" s="7" t="s">
        <v>129</v>
      </c>
      <c r="B19" s="6">
        <f>B5/AVERAGE($B$4:$B$15)*100</f>
        <v>114.87042589281791</v>
      </c>
    </row>
    <row r="20" spans="1:2" x14ac:dyDescent="0.2">
      <c r="A20" s="4" t="s">
        <v>130</v>
      </c>
      <c r="B20" s="6">
        <f t="shared" ref="B20:B29" si="0">B6/AVERAGE($B$4:$B$15)*100</f>
        <v>117.45643067271136</v>
      </c>
    </row>
    <row r="21" spans="1:2" x14ac:dyDescent="0.2">
      <c r="A21" s="4" t="s">
        <v>131</v>
      </c>
      <c r="B21" s="6">
        <f t="shared" si="0"/>
        <v>110.97759810106025</v>
      </c>
    </row>
    <row r="22" spans="1:2" x14ac:dyDescent="0.2">
      <c r="A22" s="4" t="s">
        <v>132</v>
      </c>
      <c r="B22" s="6">
        <f t="shared" si="0"/>
        <v>95.5724957828008</v>
      </c>
    </row>
    <row r="23" spans="1:2" x14ac:dyDescent="0.2">
      <c r="A23" s="4" t="s">
        <v>133</v>
      </c>
      <c r="B23" s="6">
        <f t="shared" si="0"/>
        <v>92.042539027211092</v>
      </c>
    </row>
    <row r="24" spans="1:2" x14ac:dyDescent="0.2">
      <c r="A24" s="4" t="s">
        <v>134</v>
      </c>
      <c r="B24" s="6">
        <f t="shared" si="0"/>
        <v>83.48022029176559</v>
      </c>
    </row>
    <row r="25" spans="1:2" x14ac:dyDescent="0.2">
      <c r="A25" s="4" t="s">
        <v>135</v>
      </c>
      <c r="B25" s="6">
        <f t="shared" si="0"/>
        <v>86.025473223695897</v>
      </c>
    </row>
    <row r="26" spans="1:2" x14ac:dyDescent="0.2">
      <c r="A26" s="4" t="s">
        <v>136</v>
      </c>
      <c r="B26" s="6">
        <f t="shared" si="0"/>
        <v>87.868311754544322</v>
      </c>
    </row>
    <row r="27" spans="1:2" x14ac:dyDescent="0.2">
      <c r="A27" s="4" t="s">
        <v>137</v>
      </c>
      <c r="B27" s="6">
        <f t="shared" si="0"/>
        <v>95.449388676866505</v>
      </c>
    </row>
    <row r="28" spans="1:2" x14ac:dyDescent="0.2">
      <c r="A28" s="4" t="s">
        <v>138</v>
      </c>
      <c r="B28" s="6">
        <f t="shared" si="0"/>
        <v>94.950486848981669</v>
      </c>
    </row>
    <row r="29" spans="1:2" x14ac:dyDescent="0.2">
      <c r="A29" s="4" t="s">
        <v>139</v>
      </c>
      <c r="B29" s="6">
        <f t="shared" si="0"/>
        <v>106.43719594117556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13DB-A2E0-E94D-84A7-148612328B97}">
  <dimension ref="A1:D21"/>
  <sheetViews>
    <sheetView showGridLines="0" workbookViewId="0">
      <selection activeCell="O15" sqref="O15"/>
    </sheetView>
  </sheetViews>
  <sheetFormatPr baseColWidth="10" defaultRowHeight="15" x14ac:dyDescent="0.2"/>
  <cols>
    <col min="1" max="1" width="18.6640625" bestFit="1" customWidth="1"/>
    <col min="2" max="2" width="12.1640625" bestFit="1" customWidth="1"/>
    <col min="3" max="3" width="12.5" bestFit="1" customWidth="1"/>
    <col min="4" max="4" width="12.1640625" bestFit="1" customWidth="1"/>
  </cols>
  <sheetData>
    <row r="1" spans="1:4" x14ac:dyDescent="0.2">
      <c r="A1" s="11" t="s">
        <v>141</v>
      </c>
      <c r="B1" s="11"/>
      <c r="C1" s="11"/>
      <c r="D1" s="11"/>
    </row>
    <row r="3" spans="1:4" x14ac:dyDescent="0.2">
      <c r="A3" s="4" t="s">
        <v>142</v>
      </c>
      <c r="B3" s="1" t="s">
        <v>97</v>
      </c>
      <c r="C3" s="1" t="s">
        <v>95</v>
      </c>
      <c r="D3" s="1" t="s">
        <v>96</v>
      </c>
    </row>
    <row r="4" spans="1:4" x14ac:dyDescent="0.2">
      <c r="A4" s="4" t="s">
        <v>97</v>
      </c>
      <c r="B4" s="1">
        <f>1</f>
        <v>1</v>
      </c>
      <c r="C4" s="1">
        <f>CORREL('1. Ham Veri'!B2:B95,'1. Ham Veri'!C2:C95)</f>
        <v>0.99908596074929046</v>
      </c>
      <c r="D4" s="1">
        <f>CORREL('1. Ham Veri'!B2:B95,'1. Ham Veri'!D2:D95)</f>
        <v>0.93388849518823713</v>
      </c>
    </row>
    <row r="5" spans="1:4" x14ac:dyDescent="0.2">
      <c r="A5" s="4" t="s">
        <v>95</v>
      </c>
      <c r="B5" s="1">
        <f>C4</f>
        <v>0.99908596074929046</v>
      </c>
      <c r="C5" s="1">
        <f>1</f>
        <v>1</v>
      </c>
      <c r="D5" s="1">
        <f>CORREL('1. Ham Veri'!C2:C95,'1. Ham Veri'!D2:D95)</f>
        <v>0.91775034371780817</v>
      </c>
    </row>
    <row r="6" spans="1:4" x14ac:dyDescent="0.2">
      <c r="A6" s="4" t="s">
        <v>96</v>
      </c>
      <c r="B6" s="1">
        <f>D4</f>
        <v>0.93388849518823713</v>
      </c>
      <c r="C6" s="1">
        <f>D5</f>
        <v>0.91775034371780817</v>
      </c>
      <c r="D6" s="1">
        <f>1</f>
        <v>1</v>
      </c>
    </row>
    <row r="9" spans="1:4" x14ac:dyDescent="0.2">
      <c r="A9" s="4" t="s">
        <v>115</v>
      </c>
      <c r="B9" t="s">
        <v>102</v>
      </c>
      <c r="C9" t="s">
        <v>99</v>
      </c>
    </row>
    <row r="10" spans="1:4" x14ac:dyDescent="0.2">
      <c r="A10" s="4" t="s">
        <v>116</v>
      </c>
      <c r="B10" s="6">
        <f>'1. Ham Veri'!H2</f>
        <v>83.77914150444596</v>
      </c>
      <c r="C10" s="6">
        <f>'1. Ham Veri'!I2</f>
        <v>16.22085849555404</v>
      </c>
    </row>
    <row r="11" spans="1:4" x14ac:dyDescent="0.2">
      <c r="A11" s="4" t="s">
        <v>117</v>
      </c>
      <c r="B11" s="6">
        <f>'1. Ham Veri'!H95</f>
        <v>87.280030238398993</v>
      </c>
      <c r="C11" s="6">
        <f>'1. Ham Veri'!I95</f>
        <v>12.719969761601025</v>
      </c>
    </row>
    <row r="12" spans="1:4" x14ac:dyDescent="0.2">
      <c r="A12" s="4" t="s">
        <v>108</v>
      </c>
      <c r="B12" s="6">
        <f>AVERAGE('1. Ham Veri'!$H$2:$H$95)</f>
        <v>85.390351042767278</v>
      </c>
      <c r="C12" s="6">
        <f>AVERAGE('1. Ham Veri'!$I$2:$I$95)</f>
        <v>14.609648957232714</v>
      </c>
    </row>
    <row r="13" spans="1:4" x14ac:dyDescent="0.2">
      <c r="A13" s="4" t="s">
        <v>106</v>
      </c>
      <c r="B13" s="6">
        <f>MIN('1. Ham Veri'!$H$2:$H$95)</f>
        <v>82.748548906511402</v>
      </c>
      <c r="C13" s="6">
        <f>MIN('1. Ham Veri'!$I$2:$I$95)</f>
        <v>12.032579195981311</v>
      </c>
    </row>
    <row r="14" spans="1:4" x14ac:dyDescent="0.2">
      <c r="A14" s="4" t="s">
        <v>107</v>
      </c>
      <c r="B14" s="6">
        <f>MAX('1. Ham Veri'!$H$2:$H$95)</f>
        <v>87.967420804018687</v>
      </c>
      <c r="C14" s="6">
        <f>MAX('1. Ham Veri'!$I$2:$I$95)</f>
        <v>17.251451093488612</v>
      </c>
    </row>
    <row r="15" spans="1:4" x14ac:dyDescent="0.2">
      <c r="A15" s="4" t="s">
        <v>143</v>
      </c>
      <c r="B15" s="6">
        <f>B11-B10</f>
        <v>3.5008887339530332</v>
      </c>
      <c r="C15" s="6">
        <f>C11-C10</f>
        <v>-3.5008887339530155</v>
      </c>
    </row>
    <row r="18" spans="1:4" x14ac:dyDescent="0.2">
      <c r="A18" s="4" t="s">
        <v>100</v>
      </c>
      <c r="B18" s="1" t="s">
        <v>144</v>
      </c>
      <c r="C18" s="1" t="s">
        <v>145</v>
      </c>
      <c r="D18" s="1" t="s">
        <v>146</v>
      </c>
    </row>
    <row r="19" spans="1:4" x14ac:dyDescent="0.2">
      <c r="A19" s="3">
        <v>2024</v>
      </c>
      <c r="B19" s="6">
        <f>AVERAGEIF('1. Ham Veri'!$E$2:$E$95,2024,'1. Ham Veri'!$H$2:$H$95)</f>
        <v>83.941207772912875</v>
      </c>
      <c r="C19" s="6">
        <f>AVERAGEIF('1. Ham Veri'!$E$2:$E$95,2024,'1. Ham Veri'!$I$2:$I$95)</f>
        <v>16.058792227087135</v>
      </c>
      <c r="D19" s="6">
        <f>C19/B19</f>
        <v>0.19130999723677045</v>
      </c>
    </row>
    <row r="20" spans="1:4" x14ac:dyDescent="0.2">
      <c r="A20" s="3">
        <v>2025</v>
      </c>
      <c r="B20" s="6">
        <f>AVERAGEIF('1. Ham Veri'!$E$2:$E$95,2025,'1. Ham Veri'!$H$2:$H$95)</f>
        <v>85.484358083999297</v>
      </c>
      <c r="C20" s="6">
        <f>AVERAGEIF('1. Ham Veri'!$E$2:$E$95,2025,'1. Ham Veri'!$I$2:$I$95)</f>
        <v>14.515641916000671</v>
      </c>
      <c r="D20" s="6">
        <f>C20/B20</f>
        <v>0.16980465480874524</v>
      </c>
    </row>
    <row r="21" spans="1:4" x14ac:dyDescent="0.2">
      <c r="A21" s="3">
        <v>2026</v>
      </c>
      <c r="B21" s="6">
        <f>AVERAGEIF('1. Ham Veri'!$E$2:$E$95,2026,'1. Ham Veri'!$H$2:$H$95)</f>
        <v>87.672917852234136</v>
      </c>
      <c r="C21" s="6">
        <f>AVERAGEIF('1. Ham Veri'!$E$2:$E$95,2026,'1. Ham Veri'!$I$2:$I$95)</f>
        <v>12.327082147765852</v>
      </c>
      <c r="D21" s="6">
        <f>C21/B21</f>
        <v>0.14060307846195089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3CE6-5BFE-7344-BBFE-83B734E40903}">
  <dimension ref="A1:R158"/>
  <sheetViews>
    <sheetView showGridLines="0" tabSelected="1" topLeftCell="K127" workbookViewId="0">
      <selection activeCell="T147" sqref="T147"/>
    </sheetView>
  </sheetViews>
  <sheetFormatPr baseColWidth="10" defaultRowHeight="15" x14ac:dyDescent="0.2"/>
  <sheetData>
    <row r="1" spans="1:18" x14ac:dyDescent="0.2">
      <c r="A1" t="s">
        <v>0</v>
      </c>
      <c r="B1" t="s">
        <v>97</v>
      </c>
      <c r="C1" t="s">
        <v>95</v>
      </c>
      <c r="D1" t="s">
        <v>96</v>
      </c>
      <c r="F1" t="s">
        <v>0</v>
      </c>
      <c r="G1" t="s">
        <v>172</v>
      </c>
      <c r="H1" t="s">
        <v>174</v>
      </c>
      <c r="M1" t="s">
        <v>0</v>
      </c>
      <c r="N1" t="s">
        <v>97</v>
      </c>
      <c r="O1" t="s">
        <v>95</v>
      </c>
      <c r="P1" t="s">
        <v>96</v>
      </c>
      <c r="Q1" t="s">
        <v>172</v>
      </c>
      <c r="R1" t="s">
        <v>173</v>
      </c>
    </row>
    <row r="2" spans="1:18" x14ac:dyDescent="0.2">
      <c r="A2" s="12">
        <v>45471</v>
      </c>
      <c r="B2" s="5">
        <v>117010.90300000001</v>
      </c>
      <c r="C2" s="5">
        <v>98030.73</v>
      </c>
      <c r="D2" s="5">
        <v>18980.172999999999</v>
      </c>
      <c r="E2" s="5"/>
      <c r="F2" s="12">
        <v>45471</v>
      </c>
      <c r="G2" s="5"/>
      <c r="H2" s="13"/>
      <c r="I2" s="13"/>
      <c r="M2" s="12">
        <v>45471</v>
      </c>
      <c r="N2" s="5">
        <v>117010.90300000001</v>
      </c>
      <c r="O2" s="5">
        <v>98030.73</v>
      </c>
      <c r="P2" s="5">
        <v>18980.172999999999</v>
      </c>
      <c r="Q2" s="5"/>
      <c r="R2" s="5"/>
    </row>
    <row r="3" spans="1:18" x14ac:dyDescent="0.2">
      <c r="A3" s="12">
        <v>45478</v>
      </c>
      <c r="B3" s="5">
        <v>114932.29300000001</v>
      </c>
      <c r="C3" s="5">
        <v>96041.429000000004</v>
      </c>
      <c r="D3" s="5">
        <v>18890.864000000001</v>
      </c>
      <c r="E3" s="5"/>
      <c r="F3" s="12">
        <v>45478</v>
      </c>
      <c r="G3" s="5">
        <f>C3-C2</f>
        <v>-1989.3009999999922</v>
      </c>
      <c r="H3" s="5">
        <f>D3-D2</f>
        <v>-89.308999999997468</v>
      </c>
      <c r="I3" s="13"/>
      <c r="M3" s="12">
        <v>45478</v>
      </c>
      <c r="N3" s="5">
        <v>114932.29300000001</v>
      </c>
      <c r="O3" s="5">
        <v>96041.429000000004</v>
      </c>
      <c r="P3" s="5">
        <v>18890.864000000001</v>
      </c>
      <c r="Q3" s="5">
        <f>O3-O2</f>
        <v>-1989.3009999999922</v>
      </c>
      <c r="R3" s="5">
        <f>P3-P2</f>
        <v>-89.308999999997468</v>
      </c>
    </row>
    <row r="4" spans="1:18" x14ac:dyDescent="0.2">
      <c r="A4" s="12">
        <v>45485</v>
      </c>
      <c r="B4" s="5">
        <v>115625.71</v>
      </c>
      <c r="C4" s="5">
        <v>96172.501999999993</v>
      </c>
      <c r="D4" s="5">
        <v>19453.207999999999</v>
      </c>
      <c r="E4" s="5"/>
      <c r="F4" s="12">
        <v>45485</v>
      </c>
      <c r="G4" s="5">
        <f t="shared" ref="G4:G54" si="0">C4-C3</f>
        <v>131.07299999998941</v>
      </c>
      <c r="H4" s="5">
        <f t="shared" ref="H4:H54" si="1">D4-D3</f>
        <v>562.34399999999732</v>
      </c>
      <c r="I4" s="13"/>
      <c r="M4" s="12">
        <v>45485</v>
      </c>
      <c r="N4" s="5">
        <v>115625.71</v>
      </c>
      <c r="O4" s="5">
        <v>96172.501999999993</v>
      </c>
      <c r="P4" s="5">
        <v>19453.207999999999</v>
      </c>
      <c r="Q4" s="5">
        <f t="shared" ref="Q4:Q67" si="2">O4-O3</f>
        <v>131.07299999998941</v>
      </c>
      <c r="R4" s="5">
        <f t="shared" ref="R4:R67" si="3">P4-P3</f>
        <v>562.34399999999732</v>
      </c>
    </row>
    <row r="5" spans="1:18" x14ac:dyDescent="0.2">
      <c r="A5" s="12">
        <v>45492</v>
      </c>
      <c r="B5" s="5">
        <v>116662.355</v>
      </c>
      <c r="C5" s="5">
        <v>96978.198000000004</v>
      </c>
      <c r="D5" s="5">
        <v>19684.156999999999</v>
      </c>
      <c r="E5" s="5"/>
      <c r="F5" s="12">
        <v>45492</v>
      </c>
      <c r="G5" s="5">
        <f t="shared" si="0"/>
        <v>805.69600000001083</v>
      </c>
      <c r="H5" s="5">
        <f t="shared" si="1"/>
        <v>230.94900000000052</v>
      </c>
      <c r="I5" s="13"/>
      <c r="M5" s="12">
        <v>45492</v>
      </c>
      <c r="N5" s="5">
        <v>116662.355</v>
      </c>
      <c r="O5" s="5">
        <v>96978.198000000004</v>
      </c>
      <c r="P5" s="5">
        <v>19684.156999999999</v>
      </c>
      <c r="Q5" s="5">
        <f t="shared" si="2"/>
        <v>805.69600000001083</v>
      </c>
      <c r="R5" s="5">
        <f t="shared" si="3"/>
        <v>230.94900000000052</v>
      </c>
    </row>
    <row r="6" spans="1:18" x14ac:dyDescent="0.2">
      <c r="A6" s="12">
        <v>45499</v>
      </c>
      <c r="B6" s="5">
        <v>119109.58500000001</v>
      </c>
      <c r="C6" s="5">
        <v>99718.082999999999</v>
      </c>
      <c r="D6" s="5">
        <v>19391.502</v>
      </c>
      <c r="E6" s="5"/>
      <c r="F6" s="12">
        <v>45499</v>
      </c>
      <c r="G6" s="5">
        <f t="shared" si="0"/>
        <v>2739.8849999999948</v>
      </c>
      <c r="H6" s="5">
        <f t="shared" si="1"/>
        <v>-292.65499999999884</v>
      </c>
      <c r="I6" s="13"/>
      <c r="M6" s="12">
        <v>45499</v>
      </c>
      <c r="N6" s="5">
        <v>119109.58500000001</v>
      </c>
      <c r="O6" s="5">
        <v>99718.082999999999</v>
      </c>
      <c r="P6" s="5">
        <v>19391.502</v>
      </c>
      <c r="Q6" s="5">
        <f t="shared" si="2"/>
        <v>2739.8849999999948</v>
      </c>
      <c r="R6" s="5">
        <f t="shared" si="3"/>
        <v>-292.65499999999884</v>
      </c>
    </row>
    <row r="7" spans="1:18" x14ac:dyDescent="0.2">
      <c r="A7" s="12">
        <v>45506</v>
      </c>
      <c r="B7" s="5">
        <v>120109.58500000001</v>
      </c>
      <c r="C7" s="5">
        <v>100379.913</v>
      </c>
      <c r="D7" s="5">
        <v>19729.671999999999</v>
      </c>
      <c r="E7" s="5"/>
      <c r="F7" s="12">
        <v>45506</v>
      </c>
      <c r="G7" s="5">
        <f t="shared" si="0"/>
        <v>661.83000000000175</v>
      </c>
      <c r="H7" s="5">
        <f t="shared" si="1"/>
        <v>338.16999999999825</v>
      </c>
      <c r="I7" s="13"/>
      <c r="M7" s="12">
        <v>45506</v>
      </c>
      <c r="N7" s="5">
        <v>120109.58500000001</v>
      </c>
      <c r="O7" s="5">
        <v>100379.913</v>
      </c>
      <c r="P7" s="5">
        <v>19729.671999999999</v>
      </c>
      <c r="Q7" s="5">
        <f t="shared" si="2"/>
        <v>661.83000000000175</v>
      </c>
      <c r="R7" s="5">
        <f t="shared" si="3"/>
        <v>338.16999999999825</v>
      </c>
    </row>
    <row r="8" spans="1:18" x14ac:dyDescent="0.2">
      <c r="A8" s="12">
        <v>45513</v>
      </c>
      <c r="B8" s="5">
        <v>120407.133</v>
      </c>
      <c r="C8" s="5">
        <v>100152.511</v>
      </c>
      <c r="D8" s="5">
        <v>20254.621999999999</v>
      </c>
      <c r="E8" s="5"/>
      <c r="F8" s="12">
        <v>45513</v>
      </c>
      <c r="G8" s="5">
        <f t="shared" si="0"/>
        <v>-227.40200000000186</v>
      </c>
      <c r="H8" s="5">
        <f t="shared" si="1"/>
        <v>524.95000000000073</v>
      </c>
      <c r="I8" s="13"/>
      <c r="M8" s="12">
        <v>45513</v>
      </c>
      <c r="N8" s="5">
        <v>120407.133</v>
      </c>
      <c r="O8" s="5">
        <v>100152.511</v>
      </c>
      <c r="P8" s="5">
        <v>20254.621999999999</v>
      </c>
      <c r="Q8" s="5">
        <f t="shared" si="2"/>
        <v>-227.40200000000186</v>
      </c>
      <c r="R8" s="5">
        <f t="shared" si="3"/>
        <v>524.95000000000073</v>
      </c>
    </row>
    <row r="9" spans="1:18" x14ac:dyDescent="0.2">
      <c r="A9" s="12">
        <v>45520</v>
      </c>
      <c r="B9" s="5">
        <v>120243.95699999999</v>
      </c>
      <c r="C9" s="5">
        <v>99771.962</v>
      </c>
      <c r="D9" s="5">
        <v>20471.994999999999</v>
      </c>
      <c r="E9" s="5"/>
      <c r="F9" s="12">
        <v>45520</v>
      </c>
      <c r="G9" s="5">
        <f t="shared" si="0"/>
        <v>-380.54899999999907</v>
      </c>
      <c r="H9" s="5">
        <f t="shared" si="1"/>
        <v>217.37299999999959</v>
      </c>
      <c r="I9" s="13"/>
      <c r="M9" s="12">
        <v>45520</v>
      </c>
      <c r="N9" s="5">
        <v>120243.95699999999</v>
      </c>
      <c r="O9" s="5">
        <v>99771.962</v>
      </c>
      <c r="P9" s="5">
        <v>20471.994999999999</v>
      </c>
      <c r="Q9" s="5">
        <f t="shared" si="2"/>
        <v>-380.54899999999907</v>
      </c>
      <c r="R9" s="5">
        <f t="shared" si="3"/>
        <v>217.37299999999959</v>
      </c>
    </row>
    <row r="10" spans="1:18" x14ac:dyDescent="0.2">
      <c r="A10" s="12">
        <v>45527</v>
      </c>
      <c r="B10" s="5">
        <v>121657.73699999999</v>
      </c>
      <c r="C10" s="5">
        <v>100670.012</v>
      </c>
      <c r="D10" s="5">
        <v>20987.724999999999</v>
      </c>
      <c r="E10" s="5"/>
      <c r="F10" s="12">
        <v>45527</v>
      </c>
      <c r="G10" s="5">
        <f t="shared" si="0"/>
        <v>898.05000000000291</v>
      </c>
      <c r="H10" s="5">
        <f t="shared" si="1"/>
        <v>515.72999999999956</v>
      </c>
      <c r="I10" s="13"/>
      <c r="M10" s="12">
        <v>45527</v>
      </c>
      <c r="N10" s="5">
        <v>121657.73699999999</v>
      </c>
      <c r="O10" s="5">
        <v>100670.012</v>
      </c>
      <c r="P10" s="5">
        <v>20987.724999999999</v>
      </c>
      <c r="Q10" s="5">
        <f t="shared" si="2"/>
        <v>898.05000000000291</v>
      </c>
      <c r="R10" s="5">
        <f t="shared" si="3"/>
        <v>515.72999999999956</v>
      </c>
    </row>
    <row r="11" spans="1:18" x14ac:dyDescent="0.2">
      <c r="A11" s="12">
        <v>45534</v>
      </c>
      <c r="B11" s="5">
        <v>125053.042</v>
      </c>
      <c r="C11" s="5">
        <v>103837.22100000001</v>
      </c>
      <c r="D11" s="5">
        <v>21215.821</v>
      </c>
      <c r="E11" s="5"/>
      <c r="F11" s="12">
        <v>45534</v>
      </c>
      <c r="G11" s="5">
        <f t="shared" si="0"/>
        <v>3167.2090000000026</v>
      </c>
      <c r="H11" s="5">
        <f t="shared" si="1"/>
        <v>228.09600000000137</v>
      </c>
      <c r="I11" s="13"/>
      <c r="M11" s="12">
        <v>45534</v>
      </c>
      <c r="N11" s="5">
        <v>125053.042</v>
      </c>
      <c r="O11" s="5">
        <v>103837.22100000001</v>
      </c>
      <c r="P11" s="5">
        <v>21215.821</v>
      </c>
      <c r="Q11" s="5">
        <f t="shared" si="2"/>
        <v>3167.2090000000026</v>
      </c>
      <c r="R11" s="5">
        <f t="shared" si="3"/>
        <v>228.09600000000137</v>
      </c>
    </row>
    <row r="12" spans="1:18" x14ac:dyDescent="0.2">
      <c r="A12" s="12">
        <v>45541</v>
      </c>
      <c r="B12" s="5">
        <v>123406.049</v>
      </c>
      <c r="C12" s="5">
        <v>102457.94100000001</v>
      </c>
      <c r="D12" s="5">
        <v>20948.108</v>
      </c>
      <c r="E12" s="5"/>
      <c r="F12" s="12">
        <v>45541</v>
      </c>
      <c r="G12" s="5">
        <f t="shared" si="0"/>
        <v>-1379.2799999999988</v>
      </c>
      <c r="H12" s="5">
        <f t="shared" si="1"/>
        <v>-267.71299999999974</v>
      </c>
      <c r="I12" s="13"/>
      <c r="M12" s="12">
        <v>45541</v>
      </c>
      <c r="N12" s="5">
        <v>123406.049</v>
      </c>
      <c r="O12" s="5">
        <v>102457.94100000001</v>
      </c>
      <c r="P12" s="5">
        <v>20948.108</v>
      </c>
      <c r="Q12" s="5">
        <f t="shared" si="2"/>
        <v>-1379.2799999999988</v>
      </c>
      <c r="R12" s="5">
        <f t="shared" si="3"/>
        <v>-267.71299999999974</v>
      </c>
    </row>
    <row r="13" spans="1:18" x14ac:dyDescent="0.2">
      <c r="A13" s="12">
        <v>45548</v>
      </c>
      <c r="B13" s="5">
        <v>123318.524</v>
      </c>
      <c r="C13" s="5">
        <v>102559.993</v>
      </c>
      <c r="D13" s="5">
        <v>20758.530999999999</v>
      </c>
      <c r="E13" s="5"/>
      <c r="F13" s="12">
        <v>45548</v>
      </c>
      <c r="G13" s="5">
        <f t="shared" si="0"/>
        <v>102.05199999999604</v>
      </c>
      <c r="H13" s="5">
        <f t="shared" si="1"/>
        <v>-189.57700000000114</v>
      </c>
      <c r="I13" s="13"/>
      <c r="M13" s="12">
        <v>45548</v>
      </c>
      <c r="N13" s="5">
        <v>123318.524</v>
      </c>
      <c r="O13" s="5">
        <v>102559.993</v>
      </c>
      <c r="P13" s="5">
        <v>20758.530999999999</v>
      </c>
      <c r="Q13" s="5">
        <f t="shared" si="2"/>
        <v>102.05199999999604</v>
      </c>
      <c r="R13" s="5">
        <f t="shared" si="3"/>
        <v>-189.57700000000114</v>
      </c>
    </row>
    <row r="14" spans="1:18" x14ac:dyDescent="0.2">
      <c r="A14" s="12">
        <v>45555</v>
      </c>
      <c r="B14" s="5">
        <v>124025.603</v>
      </c>
      <c r="C14" s="5">
        <v>102934.88</v>
      </c>
      <c r="D14" s="5">
        <v>21090.723000000002</v>
      </c>
      <c r="E14" s="5"/>
      <c r="F14" s="12">
        <v>45555</v>
      </c>
      <c r="G14" s="5">
        <f t="shared" si="0"/>
        <v>374.88700000000244</v>
      </c>
      <c r="H14" s="5">
        <f t="shared" si="1"/>
        <v>332.19200000000274</v>
      </c>
      <c r="I14" s="13"/>
      <c r="M14" s="12">
        <v>45555</v>
      </c>
      <c r="N14" s="5">
        <v>124025.603</v>
      </c>
      <c r="O14" s="5">
        <v>102934.88</v>
      </c>
      <c r="P14" s="5">
        <v>21090.723000000002</v>
      </c>
      <c r="Q14" s="5">
        <f t="shared" si="2"/>
        <v>374.88700000000244</v>
      </c>
      <c r="R14" s="5">
        <f t="shared" si="3"/>
        <v>332.19200000000274</v>
      </c>
    </row>
    <row r="15" spans="1:18" x14ac:dyDescent="0.2">
      <c r="A15" s="12">
        <v>45562</v>
      </c>
      <c r="B15" s="5">
        <v>126552.784</v>
      </c>
      <c r="C15" s="5">
        <v>105105.94100000001</v>
      </c>
      <c r="D15" s="5">
        <v>21446.843000000001</v>
      </c>
      <c r="E15" s="5"/>
      <c r="F15" s="12">
        <v>45562</v>
      </c>
      <c r="G15" s="5">
        <f t="shared" si="0"/>
        <v>2171.0610000000015</v>
      </c>
      <c r="H15" s="5">
        <f t="shared" si="1"/>
        <v>356.11999999999898</v>
      </c>
      <c r="I15" s="13"/>
      <c r="M15" s="12">
        <v>45562</v>
      </c>
      <c r="N15" s="5">
        <v>126552.784</v>
      </c>
      <c r="O15" s="5">
        <v>105105.94100000001</v>
      </c>
      <c r="P15" s="5">
        <v>21446.843000000001</v>
      </c>
      <c r="Q15" s="5">
        <f t="shared" si="2"/>
        <v>2171.0610000000015</v>
      </c>
      <c r="R15" s="5">
        <f t="shared" si="3"/>
        <v>356.11999999999898</v>
      </c>
    </row>
    <row r="16" spans="1:18" x14ac:dyDescent="0.2">
      <c r="A16" s="12">
        <v>45569</v>
      </c>
      <c r="B16" s="5">
        <v>127549.504</v>
      </c>
      <c r="C16" s="5">
        <v>106534.552</v>
      </c>
      <c r="D16" s="5">
        <v>21014.952000000001</v>
      </c>
      <c r="E16" s="5"/>
      <c r="F16" s="12">
        <v>45569</v>
      </c>
      <c r="G16" s="5">
        <f t="shared" si="0"/>
        <v>1428.6109999999899</v>
      </c>
      <c r="H16" s="5">
        <f t="shared" si="1"/>
        <v>-431.89099999999962</v>
      </c>
      <c r="I16" s="13"/>
      <c r="M16" s="12">
        <v>45569</v>
      </c>
      <c r="N16" s="5">
        <v>127549.504</v>
      </c>
      <c r="O16" s="5">
        <v>106534.552</v>
      </c>
      <c r="P16" s="5">
        <v>21014.952000000001</v>
      </c>
      <c r="Q16" s="5">
        <f t="shared" si="2"/>
        <v>1428.6109999999899</v>
      </c>
      <c r="R16" s="5">
        <f t="shared" si="3"/>
        <v>-431.89099999999962</v>
      </c>
    </row>
    <row r="17" spans="1:18" x14ac:dyDescent="0.2">
      <c r="A17" s="12">
        <v>45576</v>
      </c>
      <c r="B17" s="5">
        <v>128148.689</v>
      </c>
      <c r="C17" s="5">
        <v>107371.61199999999</v>
      </c>
      <c r="D17" s="5">
        <v>20777.077000000001</v>
      </c>
      <c r="E17" s="5"/>
      <c r="F17" s="12">
        <v>45576</v>
      </c>
      <c r="G17" s="5">
        <f t="shared" si="0"/>
        <v>837.05999999999767</v>
      </c>
      <c r="H17" s="5">
        <f t="shared" si="1"/>
        <v>-237.875</v>
      </c>
      <c r="I17" s="13"/>
      <c r="M17" s="12">
        <v>45576</v>
      </c>
      <c r="N17" s="5">
        <v>128148.689</v>
      </c>
      <c r="O17" s="5">
        <v>107371.61199999999</v>
      </c>
      <c r="P17" s="5">
        <v>20777.077000000001</v>
      </c>
      <c r="Q17" s="5">
        <f t="shared" si="2"/>
        <v>837.05999999999767</v>
      </c>
      <c r="R17" s="5">
        <f t="shared" si="3"/>
        <v>-237.875</v>
      </c>
    </row>
    <row r="18" spans="1:18" x14ac:dyDescent="0.2">
      <c r="A18" s="12">
        <v>45583</v>
      </c>
      <c r="B18" s="5">
        <v>128475.054</v>
      </c>
      <c r="C18" s="5">
        <v>107920.53599999999</v>
      </c>
      <c r="D18" s="5">
        <v>20554.518</v>
      </c>
      <c r="E18" s="5"/>
      <c r="F18" s="12">
        <v>45583</v>
      </c>
      <c r="G18" s="5">
        <f t="shared" si="0"/>
        <v>548.92399999999907</v>
      </c>
      <c r="H18" s="5">
        <f t="shared" si="1"/>
        <v>-222.55900000000111</v>
      </c>
      <c r="I18" s="13"/>
      <c r="M18" s="12">
        <v>45583</v>
      </c>
      <c r="N18" s="5">
        <v>128475.054</v>
      </c>
      <c r="O18" s="5">
        <v>107920.53599999999</v>
      </c>
      <c r="P18" s="5">
        <v>20554.518</v>
      </c>
      <c r="Q18" s="5">
        <f t="shared" si="2"/>
        <v>548.92399999999907</v>
      </c>
      <c r="R18" s="5">
        <f t="shared" si="3"/>
        <v>-222.55900000000111</v>
      </c>
    </row>
    <row r="19" spans="1:18" x14ac:dyDescent="0.2">
      <c r="A19" s="12">
        <v>45590</v>
      </c>
      <c r="B19" s="5">
        <v>129411.024</v>
      </c>
      <c r="C19" s="5">
        <v>108870.07799999999</v>
      </c>
      <c r="D19" s="5">
        <v>20540.946</v>
      </c>
      <c r="E19" s="5"/>
      <c r="F19" s="12">
        <v>45590</v>
      </c>
      <c r="G19" s="5">
        <f t="shared" si="0"/>
        <v>949.54200000000128</v>
      </c>
      <c r="H19" s="5">
        <f t="shared" si="1"/>
        <v>-13.572000000000116</v>
      </c>
      <c r="I19" s="13"/>
      <c r="M19" s="12">
        <v>45590</v>
      </c>
      <c r="N19" s="5">
        <v>129411.024</v>
      </c>
      <c r="O19" s="5">
        <v>108870.07799999999</v>
      </c>
      <c r="P19" s="5">
        <v>20540.946</v>
      </c>
      <c r="Q19" s="5">
        <f t="shared" si="2"/>
        <v>949.54200000000128</v>
      </c>
      <c r="R19" s="5">
        <f t="shared" si="3"/>
        <v>-13.572000000000116</v>
      </c>
    </row>
    <row r="20" spans="1:18" x14ac:dyDescent="0.2">
      <c r="A20" s="12">
        <v>45597</v>
      </c>
      <c r="B20" s="5">
        <v>130886.51700000001</v>
      </c>
      <c r="C20" s="5">
        <v>110334.92</v>
      </c>
      <c r="D20" s="5">
        <v>20551.597000000002</v>
      </c>
      <c r="E20" s="5"/>
      <c r="F20" s="12">
        <v>45597</v>
      </c>
      <c r="G20" s="5">
        <f t="shared" si="0"/>
        <v>1464.8420000000042</v>
      </c>
      <c r="H20" s="5">
        <f t="shared" si="1"/>
        <v>10.651000000001659</v>
      </c>
      <c r="I20" s="13"/>
      <c r="M20" s="12">
        <v>45597</v>
      </c>
      <c r="N20" s="5">
        <v>130886.51700000001</v>
      </c>
      <c r="O20" s="5">
        <v>110334.92</v>
      </c>
      <c r="P20" s="5">
        <v>20551.597000000002</v>
      </c>
      <c r="Q20" s="5">
        <f t="shared" si="2"/>
        <v>1464.8420000000042</v>
      </c>
      <c r="R20" s="5">
        <f t="shared" si="3"/>
        <v>10.651000000001659</v>
      </c>
    </row>
    <row r="21" spans="1:18" x14ac:dyDescent="0.2">
      <c r="A21" s="12">
        <v>45604</v>
      </c>
      <c r="B21" s="5">
        <v>130500.863</v>
      </c>
      <c r="C21" s="5">
        <v>110146.30899999999</v>
      </c>
      <c r="D21" s="5">
        <v>20354.554</v>
      </c>
      <c r="E21" s="5"/>
      <c r="F21" s="12">
        <v>45604</v>
      </c>
      <c r="G21" s="5">
        <f t="shared" si="0"/>
        <v>-188.61100000000442</v>
      </c>
      <c r="H21" s="5">
        <f t="shared" si="1"/>
        <v>-197.04300000000148</v>
      </c>
      <c r="I21" s="13"/>
      <c r="M21" s="12">
        <v>45604</v>
      </c>
      <c r="N21" s="5">
        <v>130500.863</v>
      </c>
      <c r="O21" s="5">
        <v>110146.30899999999</v>
      </c>
      <c r="P21" s="5">
        <v>20354.554</v>
      </c>
      <c r="Q21" s="5">
        <f t="shared" si="2"/>
        <v>-188.61100000000442</v>
      </c>
      <c r="R21" s="5">
        <f t="shared" si="3"/>
        <v>-197.04300000000148</v>
      </c>
    </row>
    <row r="22" spans="1:18" x14ac:dyDescent="0.2">
      <c r="A22" s="12">
        <v>45611</v>
      </c>
      <c r="B22" s="5">
        <v>132583.986</v>
      </c>
      <c r="C22" s="5">
        <v>112555.977</v>
      </c>
      <c r="D22" s="5">
        <v>20028.008999999998</v>
      </c>
      <c r="E22" s="5"/>
      <c r="F22" s="12">
        <v>45611</v>
      </c>
      <c r="G22" s="5">
        <f t="shared" si="0"/>
        <v>2409.6680000000051</v>
      </c>
      <c r="H22" s="5">
        <f t="shared" si="1"/>
        <v>-326.54500000000189</v>
      </c>
      <c r="I22" s="13"/>
      <c r="M22" s="12">
        <v>45611</v>
      </c>
      <c r="N22" s="5">
        <v>132583.986</v>
      </c>
      <c r="O22" s="5">
        <v>112555.977</v>
      </c>
      <c r="P22" s="5">
        <v>20028.008999999998</v>
      </c>
      <c r="Q22" s="5">
        <f t="shared" si="2"/>
        <v>2409.6680000000051</v>
      </c>
      <c r="R22" s="5">
        <f t="shared" si="3"/>
        <v>-326.54500000000189</v>
      </c>
    </row>
    <row r="23" spans="1:18" x14ac:dyDescent="0.2">
      <c r="A23" s="12">
        <v>45618</v>
      </c>
      <c r="B23" s="5">
        <v>133275.522</v>
      </c>
      <c r="C23" s="5">
        <v>113019.452</v>
      </c>
      <c r="D23" s="5">
        <v>20256.07</v>
      </c>
      <c r="E23" s="5"/>
      <c r="F23" s="12">
        <v>45618</v>
      </c>
      <c r="G23" s="5">
        <f t="shared" si="0"/>
        <v>463.47500000000582</v>
      </c>
      <c r="H23" s="5">
        <f t="shared" si="1"/>
        <v>228.06100000000151</v>
      </c>
      <c r="I23" s="13"/>
      <c r="M23" s="12">
        <v>45618</v>
      </c>
      <c r="N23" s="5">
        <v>133275.522</v>
      </c>
      <c r="O23" s="5">
        <v>113019.452</v>
      </c>
      <c r="P23" s="5">
        <v>20256.07</v>
      </c>
      <c r="Q23" s="5">
        <f t="shared" si="2"/>
        <v>463.47500000000582</v>
      </c>
      <c r="R23" s="5">
        <f t="shared" si="3"/>
        <v>228.06100000000151</v>
      </c>
    </row>
    <row r="24" spans="1:18" x14ac:dyDescent="0.2">
      <c r="A24" s="12">
        <v>45625</v>
      </c>
      <c r="B24" s="5">
        <v>138320.098</v>
      </c>
      <c r="C24" s="5">
        <v>117681.857</v>
      </c>
      <c r="D24" s="5">
        <v>20638.241000000002</v>
      </c>
      <c r="E24" s="5"/>
      <c r="F24" s="12">
        <v>45625</v>
      </c>
      <c r="G24" s="5">
        <f t="shared" si="0"/>
        <v>4662.4049999999988</v>
      </c>
      <c r="H24" s="5">
        <f t="shared" si="1"/>
        <v>382.1710000000021</v>
      </c>
      <c r="I24" s="13"/>
      <c r="M24" s="12">
        <v>45625</v>
      </c>
      <c r="N24" s="5">
        <v>138320.098</v>
      </c>
      <c r="O24" s="5">
        <v>117681.857</v>
      </c>
      <c r="P24" s="5">
        <v>20638.241000000002</v>
      </c>
      <c r="Q24" s="5">
        <f t="shared" si="2"/>
        <v>4662.4049999999988</v>
      </c>
      <c r="R24" s="5">
        <f t="shared" si="3"/>
        <v>382.1710000000021</v>
      </c>
    </row>
    <row r="25" spans="1:18" x14ac:dyDescent="0.2">
      <c r="A25" s="12">
        <v>45632</v>
      </c>
      <c r="B25" s="5">
        <v>137569.337</v>
      </c>
      <c r="C25" s="5">
        <v>117141.164</v>
      </c>
      <c r="D25" s="5">
        <v>20428.172999999999</v>
      </c>
      <c r="E25" s="5"/>
      <c r="F25" s="12">
        <v>45632</v>
      </c>
      <c r="G25" s="5">
        <f t="shared" si="0"/>
        <v>-540.6929999999993</v>
      </c>
      <c r="H25" s="5">
        <f t="shared" si="1"/>
        <v>-210.06800000000294</v>
      </c>
      <c r="I25" s="13"/>
      <c r="M25" s="12">
        <v>45632</v>
      </c>
      <c r="N25" s="5">
        <v>137569.337</v>
      </c>
      <c r="O25" s="5">
        <v>117141.164</v>
      </c>
      <c r="P25" s="5">
        <v>20428.172999999999</v>
      </c>
      <c r="Q25" s="5">
        <f t="shared" si="2"/>
        <v>-540.6929999999993</v>
      </c>
      <c r="R25" s="5">
        <f t="shared" si="3"/>
        <v>-210.06800000000294</v>
      </c>
    </row>
    <row r="26" spans="1:18" x14ac:dyDescent="0.2">
      <c r="A26" s="12">
        <v>45639</v>
      </c>
      <c r="B26" s="5">
        <v>139712.652</v>
      </c>
      <c r="C26" s="5">
        <v>119204.58900000001</v>
      </c>
      <c r="D26" s="5">
        <v>20508.062999999998</v>
      </c>
      <c r="E26" s="5"/>
      <c r="F26" s="12">
        <v>45639</v>
      </c>
      <c r="G26" s="5">
        <f t="shared" si="0"/>
        <v>2063.4250000000029</v>
      </c>
      <c r="H26" s="5">
        <f t="shared" si="1"/>
        <v>79.889999999999418</v>
      </c>
      <c r="I26" s="13"/>
      <c r="M26" s="12">
        <v>45639</v>
      </c>
      <c r="N26" s="5">
        <v>139712.652</v>
      </c>
      <c r="O26" s="5">
        <v>119204.58900000001</v>
      </c>
      <c r="P26" s="5">
        <v>20508.062999999998</v>
      </c>
      <c r="Q26" s="5">
        <f t="shared" si="2"/>
        <v>2063.4250000000029</v>
      </c>
      <c r="R26" s="5">
        <f t="shared" si="3"/>
        <v>79.889999999999418</v>
      </c>
    </row>
    <row r="27" spans="1:18" x14ac:dyDescent="0.2">
      <c r="A27" s="12">
        <v>45646</v>
      </c>
      <c r="B27" s="5">
        <v>142016.27299999999</v>
      </c>
      <c r="C27" s="5">
        <v>121645.45</v>
      </c>
      <c r="D27" s="5">
        <v>20370.823</v>
      </c>
      <c r="E27" s="5"/>
      <c r="F27" s="12">
        <v>45646</v>
      </c>
      <c r="G27" s="5">
        <f t="shared" si="0"/>
        <v>2440.8609999999899</v>
      </c>
      <c r="H27" s="5">
        <f t="shared" si="1"/>
        <v>-137.23999999999796</v>
      </c>
      <c r="I27" s="13"/>
      <c r="M27" s="12">
        <v>45646</v>
      </c>
      <c r="N27" s="5">
        <v>142016.27299999999</v>
      </c>
      <c r="O27" s="5">
        <v>121645.45</v>
      </c>
      <c r="P27" s="5">
        <v>20370.823</v>
      </c>
      <c r="Q27" s="5">
        <f t="shared" si="2"/>
        <v>2440.8609999999899</v>
      </c>
      <c r="R27" s="5">
        <f t="shared" si="3"/>
        <v>-137.23999999999796</v>
      </c>
    </row>
    <row r="28" spans="1:18" x14ac:dyDescent="0.2">
      <c r="A28" s="12">
        <v>45653</v>
      </c>
      <c r="B28" s="5">
        <v>150390.14000000001</v>
      </c>
      <c r="C28" s="5">
        <v>129719.376</v>
      </c>
      <c r="D28" s="5">
        <v>20670.763999999999</v>
      </c>
      <c r="E28" s="5"/>
      <c r="F28" s="12">
        <v>45653</v>
      </c>
      <c r="G28" s="5">
        <f t="shared" si="0"/>
        <v>8073.9260000000068</v>
      </c>
      <c r="H28" s="5">
        <f t="shared" si="1"/>
        <v>299.94099999999889</v>
      </c>
      <c r="I28" s="13"/>
      <c r="M28" s="12">
        <v>45653</v>
      </c>
      <c r="N28" s="5">
        <v>150390.14000000001</v>
      </c>
      <c r="O28" s="5">
        <v>129719.376</v>
      </c>
      <c r="P28" s="5">
        <v>20670.763999999999</v>
      </c>
      <c r="Q28" s="5">
        <f t="shared" si="2"/>
        <v>8073.9260000000068</v>
      </c>
      <c r="R28" s="5">
        <f t="shared" si="3"/>
        <v>299.94099999999889</v>
      </c>
    </row>
    <row r="29" spans="1:18" x14ac:dyDescent="0.2">
      <c r="A29" s="12">
        <v>45660</v>
      </c>
      <c r="B29" s="5">
        <v>152815.70800000001</v>
      </c>
      <c r="C29" s="5">
        <v>132288.65299999999</v>
      </c>
      <c r="D29" s="5">
        <v>20527.055</v>
      </c>
      <c r="E29" s="5"/>
      <c r="F29" s="12">
        <v>45660</v>
      </c>
      <c r="G29" s="5">
        <f t="shared" si="0"/>
        <v>2569.2769999999873</v>
      </c>
      <c r="H29" s="5">
        <f t="shared" si="1"/>
        <v>-143.70899999999892</v>
      </c>
      <c r="I29" s="13"/>
      <c r="M29" s="12">
        <v>45660</v>
      </c>
      <c r="N29" s="5">
        <v>152815.70800000001</v>
      </c>
      <c r="O29" s="5">
        <v>132288.65299999999</v>
      </c>
      <c r="P29" s="5">
        <v>20527.055</v>
      </c>
      <c r="Q29" s="5">
        <f t="shared" si="2"/>
        <v>2569.2769999999873</v>
      </c>
      <c r="R29" s="5">
        <f t="shared" si="3"/>
        <v>-143.70899999999892</v>
      </c>
    </row>
    <row r="30" spans="1:18" x14ac:dyDescent="0.2">
      <c r="A30" s="12">
        <v>45667</v>
      </c>
      <c r="B30" s="5">
        <v>151867.85699999999</v>
      </c>
      <c r="C30" s="5">
        <v>131494.03599999999</v>
      </c>
      <c r="D30" s="5">
        <v>20373.821</v>
      </c>
      <c r="E30" s="5"/>
      <c r="F30" s="12">
        <v>45667</v>
      </c>
      <c r="G30" s="5">
        <f t="shared" si="0"/>
        <v>-794.61699999999837</v>
      </c>
      <c r="H30" s="5">
        <f t="shared" si="1"/>
        <v>-153.23400000000038</v>
      </c>
      <c r="I30" s="13"/>
      <c r="M30" s="12">
        <v>45667</v>
      </c>
      <c r="N30" s="5">
        <v>151867.85699999999</v>
      </c>
      <c r="O30" s="5">
        <v>131494.03599999999</v>
      </c>
      <c r="P30" s="5">
        <v>20373.821</v>
      </c>
      <c r="Q30" s="5">
        <f t="shared" si="2"/>
        <v>-794.61699999999837</v>
      </c>
      <c r="R30" s="5">
        <f t="shared" si="3"/>
        <v>-153.23400000000038</v>
      </c>
    </row>
    <row r="31" spans="1:18" x14ac:dyDescent="0.2">
      <c r="A31" s="12">
        <v>45674</v>
      </c>
      <c r="B31" s="5">
        <v>151894.568</v>
      </c>
      <c r="C31" s="5">
        <v>131561.90100000001</v>
      </c>
      <c r="D31" s="5">
        <v>20332.667000000001</v>
      </c>
      <c r="E31" s="5"/>
      <c r="F31" s="12">
        <v>45674</v>
      </c>
      <c r="G31" s="5">
        <f t="shared" si="0"/>
        <v>67.865000000019791</v>
      </c>
      <c r="H31" s="5">
        <f t="shared" si="1"/>
        <v>-41.153999999998632</v>
      </c>
      <c r="I31" s="13"/>
      <c r="M31" s="12">
        <v>45674</v>
      </c>
      <c r="N31" s="5">
        <v>151894.568</v>
      </c>
      <c r="O31" s="5">
        <v>131561.90100000001</v>
      </c>
      <c r="P31" s="5">
        <v>20332.667000000001</v>
      </c>
      <c r="Q31" s="5">
        <f t="shared" si="2"/>
        <v>67.865000000019791</v>
      </c>
      <c r="R31" s="5">
        <f t="shared" si="3"/>
        <v>-41.153999999998632</v>
      </c>
    </row>
    <row r="32" spans="1:18" x14ac:dyDescent="0.2">
      <c r="A32" s="12">
        <v>45681</v>
      </c>
      <c r="B32" s="5">
        <v>151259.46599999999</v>
      </c>
      <c r="C32" s="5">
        <v>130795.22900000001</v>
      </c>
      <c r="D32" s="5">
        <v>20464.237000000001</v>
      </c>
      <c r="E32" s="5"/>
      <c r="F32" s="12">
        <v>45681</v>
      </c>
      <c r="G32" s="5">
        <f t="shared" si="0"/>
        <v>-766.67200000000594</v>
      </c>
      <c r="H32" s="5">
        <f t="shared" si="1"/>
        <v>131.56999999999971</v>
      </c>
      <c r="I32" s="13"/>
      <c r="M32" s="12">
        <v>45681</v>
      </c>
      <c r="N32" s="5">
        <v>151259.46599999999</v>
      </c>
      <c r="O32" s="5">
        <v>130795.22900000001</v>
      </c>
      <c r="P32" s="5">
        <v>20464.237000000001</v>
      </c>
      <c r="Q32" s="5">
        <f t="shared" si="2"/>
        <v>-766.67200000000594</v>
      </c>
      <c r="R32" s="5">
        <f t="shared" si="3"/>
        <v>131.56999999999971</v>
      </c>
    </row>
    <row r="33" spans="1:18" x14ac:dyDescent="0.2">
      <c r="A33" s="12">
        <v>45688</v>
      </c>
      <c r="B33" s="5">
        <v>151263.91399999999</v>
      </c>
      <c r="C33" s="5">
        <v>130998.731</v>
      </c>
      <c r="D33" s="5">
        <v>20265.183000000001</v>
      </c>
      <c r="E33" s="5"/>
      <c r="F33" s="12">
        <v>45688</v>
      </c>
      <c r="G33" s="5">
        <f t="shared" si="0"/>
        <v>203.50199999999313</v>
      </c>
      <c r="H33" s="5">
        <f t="shared" si="1"/>
        <v>-199.05400000000009</v>
      </c>
      <c r="I33" s="13"/>
      <c r="M33" s="12">
        <v>45688</v>
      </c>
      <c r="N33" s="5">
        <v>151263.91399999999</v>
      </c>
      <c r="O33" s="5">
        <v>130998.731</v>
      </c>
      <c r="P33" s="5">
        <v>20265.183000000001</v>
      </c>
      <c r="Q33" s="5">
        <f t="shared" si="2"/>
        <v>203.50199999999313</v>
      </c>
      <c r="R33" s="5">
        <f t="shared" si="3"/>
        <v>-199.05400000000009</v>
      </c>
    </row>
    <row r="34" spans="1:18" x14ac:dyDescent="0.2">
      <c r="A34" s="12">
        <v>45695</v>
      </c>
      <c r="B34" s="5">
        <v>150207.34400000001</v>
      </c>
      <c r="C34" s="5">
        <v>129971.82799999999</v>
      </c>
      <c r="D34" s="5">
        <v>20235.516</v>
      </c>
      <c r="E34" s="5"/>
      <c r="F34" s="12">
        <v>45695</v>
      </c>
      <c r="G34" s="5">
        <f t="shared" si="0"/>
        <v>-1026.9030000000057</v>
      </c>
      <c r="H34" s="5">
        <f t="shared" si="1"/>
        <v>-29.667000000001281</v>
      </c>
      <c r="I34" s="13"/>
      <c r="M34" s="12">
        <v>45695</v>
      </c>
      <c r="N34" s="5">
        <v>150207.34400000001</v>
      </c>
      <c r="O34" s="5">
        <v>129971.82799999999</v>
      </c>
      <c r="P34" s="5">
        <v>20235.516</v>
      </c>
      <c r="Q34" s="5">
        <f t="shared" si="2"/>
        <v>-1026.9030000000057</v>
      </c>
      <c r="R34" s="5">
        <f t="shared" si="3"/>
        <v>-29.667000000001281</v>
      </c>
    </row>
    <row r="35" spans="1:18" x14ac:dyDescent="0.2">
      <c r="A35" s="12">
        <v>45702</v>
      </c>
      <c r="B35" s="5">
        <v>151526.66399999999</v>
      </c>
      <c r="C35" s="5">
        <v>131052.499</v>
      </c>
      <c r="D35" s="5">
        <v>20474.165000000001</v>
      </c>
      <c r="E35" s="5"/>
      <c r="F35" s="12">
        <v>45702</v>
      </c>
      <c r="G35" s="5">
        <f t="shared" si="0"/>
        <v>1080.6710000000021</v>
      </c>
      <c r="H35" s="5">
        <f t="shared" si="1"/>
        <v>238.64900000000125</v>
      </c>
      <c r="I35" s="13"/>
      <c r="M35" s="12">
        <v>45702</v>
      </c>
      <c r="N35" s="5">
        <v>151526.66399999999</v>
      </c>
      <c r="O35" s="5">
        <v>131052.499</v>
      </c>
      <c r="P35" s="5">
        <v>20474.165000000001</v>
      </c>
      <c r="Q35" s="5">
        <f t="shared" si="2"/>
        <v>1080.6710000000021</v>
      </c>
      <c r="R35" s="5">
        <f t="shared" si="3"/>
        <v>238.64900000000125</v>
      </c>
    </row>
    <row r="36" spans="1:18" x14ac:dyDescent="0.2">
      <c r="A36" s="12">
        <v>45709</v>
      </c>
      <c r="B36" s="5">
        <v>152072.75399999999</v>
      </c>
      <c r="C36" s="5">
        <v>131680.342</v>
      </c>
      <c r="D36" s="5">
        <v>20392.412</v>
      </c>
      <c r="E36" s="5"/>
      <c r="F36" s="12">
        <v>45709</v>
      </c>
      <c r="G36" s="5">
        <f t="shared" si="0"/>
        <v>627.84300000000803</v>
      </c>
      <c r="H36" s="5">
        <f t="shared" si="1"/>
        <v>-81.753000000000611</v>
      </c>
      <c r="I36" s="13"/>
      <c r="M36" s="12">
        <v>45709</v>
      </c>
      <c r="N36" s="5">
        <v>152072.75399999999</v>
      </c>
      <c r="O36" s="5">
        <v>131680.342</v>
      </c>
      <c r="P36" s="5">
        <v>20392.412</v>
      </c>
      <c r="Q36" s="5">
        <f t="shared" si="2"/>
        <v>627.84300000000803</v>
      </c>
      <c r="R36" s="5">
        <f t="shared" si="3"/>
        <v>-81.753000000000611</v>
      </c>
    </row>
    <row r="37" spans="1:18" x14ac:dyDescent="0.2">
      <c r="A37" s="12">
        <v>45716</v>
      </c>
      <c r="B37" s="5">
        <v>155136.22399999999</v>
      </c>
      <c r="C37" s="5">
        <v>134789.899</v>
      </c>
      <c r="D37" s="5">
        <v>20346.325000000001</v>
      </c>
      <c r="E37" s="5"/>
      <c r="F37" s="12">
        <v>45716</v>
      </c>
      <c r="G37" s="5">
        <f t="shared" si="0"/>
        <v>3109.5570000000007</v>
      </c>
      <c r="H37" s="5">
        <f t="shared" si="1"/>
        <v>-46.086999999999534</v>
      </c>
      <c r="I37" s="13"/>
      <c r="M37" s="12">
        <v>45716</v>
      </c>
      <c r="N37" s="5">
        <v>155136.22399999999</v>
      </c>
      <c r="O37" s="5">
        <v>134789.899</v>
      </c>
      <c r="P37" s="5">
        <v>20346.325000000001</v>
      </c>
      <c r="Q37" s="5">
        <f t="shared" si="2"/>
        <v>3109.5570000000007</v>
      </c>
      <c r="R37" s="5">
        <f t="shared" si="3"/>
        <v>-46.086999999999534</v>
      </c>
    </row>
    <row r="38" spans="1:18" x14ac:dyDescent="0.2">
      <c r="A38" s="12">
        <v>45723</v>
      </c>
      <c r="B38" s="5">
        <v>155173.47099999999</v>
      </c>
      <c r="C38" s="5">
        <v>134380.791</v>
      </c>
      <c r="D38" s="5">
        <v>20792.68</v>
      </c>
      <c r="E38" s="5"/>
      <c r="F38" s="12">
        <v>45723</v>
      </c>
      <c r="G38" s="5">
        <f t="shared" si="0"/>
        <v>-409.10800000000745</v>
      </c>
      <c r="H38" s="5">
        <f t="shared" si="1"/>
        <v>446.35499999999956</v>
      </c>
      <c r="I38" s="13"/>
      <c r="M38" s="12">
        <v>45723</v>
      </c>
      <c r="N38" s="5">
        <v>155173.47099999999</v>
      </c>
      <c r="O38" s="5">
        <v>134380.791</v>
      </c>
      <c r="P38" s="5">
        <v>20792.68</v>
      </c>
      <c r="Q38" s="5">
        <f t="shared" si="2"/>
        <v>-409.10800000000745</v>
      </c>
      <c r="R38" s="5">
        <f t="shared" si="3"/>
        <v>446.35499999999956</v>
      </c>
    </row>
    <row r="39" spans="1:18" x14ac:dyDescent="0.2">
      <c r="A39" s="12">
        <v>45730</v>
      </c>
      <c r="B39" s="5">
        <v>158983.82399999999</v>
      </c>
      <c r="C39" s="5">
        <v>137769.394</v>
      </c>
      <c r="D39" s="5">
        <v>21214.43</v>
      </c>
      <c r="E39" s="5"/>
      <c r="F39" s="12">
        <v>45730</v>
      </c>
      <c r="G39" s="5">
        <f t="shared" si="0"/>
        <v>3388.6030000000028</v>
      </c>
      <c r="H39" s="5">
        <f t="shared" si="1"/>
        <v>421.75</v>
      </c>
      <c r="I39" s="13"/>
      <c r="M39" s="12">
        <v>45730</v>
      </c>
      <c r="N39" s="5">
        <v>158983.82399999999</v>
      </c>
      <c r="O39" s="5">
        <v>137769.394</v>
      </c>
      <c r="P39" s="5">
        <v>21214.43</v>
      </c>
      <c r="Q39" s="5">
        <f t="shared" si="2"/>
        <v>3388.6030000000028</v>
      </c>
      <c r="R39" s="5">
        <f t="shared" si="3"/>
        <v>421.75</v>
      </c>
    </row>
    <row r="40" spans="1:18" x14ac:dyDescent="0.2">
      <c r="A40" s="12">
        <v>45737</v>
      </c>
      <c r="B40" s="5">
        <v>162157.43799999999</v>
      </c>
      <c r="C40" s="5">
        <v>140013.851</v>
      </c>
      <c r="D40" s="5">
        <v>22143.587</v>
      </c>
      <c r="E40" s="5"/>
      <c r="F40" s="12">
        <v>45737</v>
      </c>
      <c r="G40" s="5">
        <f t="shared" si="0"/>
        <v>2244.4569999999949</v>
      </c>
      <c r="H40" s="5">
        <f t="shared" si="1"/>
        <v>929.15699999999924</v>
      </c>
      <c r="I40" s="13"/>
      <c r="M40" s="12">
        <v>45737</v>
      </c>
      <c r="N40" s="5">
        <v>162157.43799999999</v>
      </c>
      <c r="O40" s="5">
        <v>140013.851</v>
      </c>
      <c r="P40" s="5">
        <v>22143.587</v>
      </c>
      <c r="Q40" s="5">
        <f t="shared" si="2"/>
        <v>2244.4569999999949</v>
      </c>
      <c r="R40" s="5">
        <f t="shared" si="3"/>
        <v>929.15699999999924</v>
      </c>
    </row>
    <row r="41" spans="1:18" x14ac:dyDescent="0.2">
      <c r="A41" s="12">
        <v>45744</v>
      </c>
      <c r="B41" s="5">
        <v>168853.239</v>
      </c>
      <c r="C41" s="5">
        <v>146550.32800000001</v>
      </c>
      <c r="D41" s="5">
        <v>22302.911</v>
      </c>
      <c r="E41" s="5"/>
      <c r="F41" s="12">
        <v>45744</v>
      </c>
      <c r="G41" s="5">
        <f t="shared" si="0"/>
        <v>6536.4770000000135</v>
      </c>
      <c r="H41" s="5">
        <f t="shared" si="1"/>
        <v>159.32400000000052</v>
      </c>
      <c r="I41" s="13"/>
      <c r="M41" s="12">
        <v>45744</v>
      </c>
      <c r="N41" s="5">
        <v>168853.239</v>
      </c>
      <c r="O41" s="5">
        <v>146550.32800000001</v>
      </c>
      <c r="P41" s="5">
        <v>22302.911</v>
      </c>
      <c r="Q41" s="5">
        <f t="shared" si="2"/>
        <v>6536.4770000000135</v>
      </c>
      <c r="R41" s="5">
        <f t="shared" si="3"/>
        <v>159.32400000000052</v>
      </c>
    </row>
    <row r="42" spans="1:18" x14ac:dyDescent="0.2">
      <c r="A42" s="12">
        <v>45751</v>
      </c>
      <c r="B42" s="5">
        <v>166084.859</v>
      </c>
      <c r="C42" s="5">
        <v>143508.91699999999</v>
      </c>
      <c r="D42" s="5">
        <v>22575.941999999999</v>
      </c>
      <c r="E42" s="5"/>
      <c r="F42" s="12">
        <v>45751</v>
      </c>
      <c r="G42" s="5">
        <f t="shared" si="0"/>
        <v>-3041.4110000000219</v>
      </c>
      <c r="H42" s="5">
        <f t="shared" si="1"/>
        <v>273.03099999999904</v>
      </c>
      <c r="I42" s="13"/>
      <c r="M42" s="12">
        <v>45751</v>
      </c>
      <c r="N42" s="5">
        <v>166084.859</v>
      </c>
      <c r="O42" s="5">
        <v>143508.91699999999</v>
      </c>
      <c r="P42" s="5">
        <v>22575.941999999999</v>
      </c>
      <c r="Q42" s="5">
        <f t="shared" si="2"/>
        <v>-3041.4110000000219</v>
      </c>
      <c r="R42" s="5">
        <f t="shared" si="3"/>
        <v>273.03099999999904</v>
      </c>
    </row>
    <row r="43" spans="1:18" x14ac:dyDescent="0.2">
      <c r="A43" s="12">
        <v>45758</v>
      </c>
      <c r="B43" s="5">
        <v>165677.144</v>
      </c>
      <c r="C43" s="5">
        <v>143236.71599999999</v>
      </c>
      <c r="D43" s="5">
        <v>22440.428</v>
      </c>
      <c r="E43" s="5"/>
      <c r="F43" s="12">
        <v>45758</v>
      </c>
      <c r="G43" s="5">
        <f t="shared" si="0"/>
        <v>-272.20100000000093</v>
      </c>
      <c r="H43" s="5">
        <f t="shared" si="1"/>
        <v>-135.51399999999921</v>
      </c>
      <c r="I43" s="13"/>
      <c r="M43" s="12">
        <v>45758</v>
      </c>
      <c r="N43" s="5">
        <v>165677.144</v>
      </c>
      <c r="O43" s="5">
        <v>143236.71599999999</v>
      </c>
      <c r="P43" s="5">
        <v>22440.428</v>
      </c>
      <c r="Q43" s="5">
        <f t="shared" si="2"/>
        <v>-272.20100000000093</v>
      </c>
      <c r="R43" s="5">
        <f t="shared" si="3"/>
        <v>-135.51399999999921</v>
      </c>
    </row>
    <row r="44" spans="1:18" x14ac:dyDescent="0.2">
      <c r="A44" s="12">
        <v>45765</v>
      </c>
      <c r="B44" s="5">
        <v>170708.18100000001</v>
      </c>
      <c r="C44" s="5">
        <v>144756.56899999999</v>
      </c>
      <c r="D44" s="5">
        <v>25951.612000000001</v>
      </c>
      <c r="E44" s="5"/>
      <c r="F44" s="12">
        <v>45765</v>
      </c>
      <c r="G44" s="5">
        <f t="shared" si="0"/>
        <v>1519.8530000000028</v>
      </c>
      <c r="H44" s="5">
        <f t="shared" si="1"/>
        <v>3511.1840000000011</v>
      </c>
      <c r="I44" s="13"/>
      <c r="M44" s="12">
        <v>45765</v>
      </c>
      <c r="N44" s="5">
        <v>170708.18100000001</v>
      </c>
      <c r="O44" s="5">
        <v>144756.56899999999</v>
      </c>
      <c r="P44" s="5">
        <v>25951.612000000001</v>
      </c>
      <c r="Q44" s="5">
        <f t="shared" si="2"/>
        <v>1519.8530000000028</v>
      </c>
      <c r="R44" s="5">
        <f t="shared" si="3"/>
        <v>3511.1840000000011</v>
      </c>
    </row>
    <row r="45" spans="1:18" x14ac:dyDescent="0.2">
      <c r="A45" s="12">
        <v>45772</v>
      </c>
      <c r="B45" s="5">
        <v>173370.89</v>
      </c>
      <c r="C45" s="5">
        <v>147213.78099999999</v>
      </c>
      <c r="D45" s="5">
        <v>26157.109</v>
      </c>
      <c r="E45" s="5"/>
      <c r="F45" s="12">
        <v>45772</v>
      </c>
      <c r="G45" s="5">
        <f t="shared" si="0"/>
        <v>2457.2119999999995</v>
      </c>
      <c r="H45" s="5">
        <f t="shared" si="1"/>
        <v>205.49699999999939</v>
      </c>
      <c r="I45" s="13"/>
      <c r="M45" s="12">
        <v>45772</v>
      </c>
      <c r="N45" s="5">
        <v>173370.89</v>
      </c>
      <c r="O45" s="5">
        <v>147213.78099999999</v>
      </c>
      <c r="P45" s="5">
        <v>26157.109</v>
      </c>
      <c r="Q45" s="5">
        <f t="shared" si="2"/>
        <v>2457.2119999999995</v>
      </c>
      <c r="R45" s="5">
        <f t="shared" si="3"/>
        <v>205.49699999999939</v>
      </c>
    </row>
    <row r="46" spans="1:18" x14ac:dyDescent="0.2">
      <c r="A46" s="12">
        <v>45779</v>
      </c>
      <c r="B46" s="5">
        <v>175896.79699999999</v>
      </c>
      <c r="C46" s="5">
        <v>149080.58100000001</v>
      </c>
      <c r="D46" s="5">
        <v>26816.216</v>
      </c>
      <c r="E46" s="5"/>
      <c r="F46" s="12">
        <v>45779</v>
      </c>
      <c r="G46" s="5">
        <f t="shared" si="0"/>
        <v>1866.8000000000175</v>
      </c>
      <c r="H46" s="5">
        <f t="shared" si="1"/>
        <v>659.10699999999997</v>
      </c>
      <c r="I46" s="13"/>
      <c r="M46" s="12">
        <v>45779</v>
      </c>
      <c r="N46" s="5">
        <v>175896.79699999999</v>
      </c>
      <c r="O46" s="5">
        <v>149080.58100000001</v>
      </c>
      <c r="P46" s="5">
        <v>26816.216</v>
      </c>
      <c r="Q46" s="5">
        <f t="shared" si="2"/>
        <v>1866.8000000000175</v>
      </c>
      <c r="R46" s="5">
        <f t="shared" si="3"/>
        <v>659.10699999999997</v>
      </c>
    </row>
    <row r="47" spans="1:18" x14ac:dyDescent="0.2">
      <c r="A47" s="12">
        <v>45786</v>
      </c>
      <c r="B47" s="5">
        <v>175107.53099999999</v>
      </c>
      <c r="C47" s="5">
        <v>148517.84</v>
      </c>
      <c r="D47" s="5">
        <v>26589.690999999999</v>
      </c>
      <c r="E47" s="5"/>
      <c r="F47" s="12">
        <v>45786</v>
      </c>
      <c r="G47" s="5">
        <f t="shared" si="0"/>
        <v>-562.74100000000908</v>
      </c>
      <c r="H47" s="5">
        <f t="shared" si="1"/>
        <v>-226.52500000000146</v>
      </c>
      <c r="I47" s="13"/>
      <c r="M47" s="12">
        <v>45786</v>
      </c>
      <c r="N47" s="5">
        <v>175107.53099999999</v>
      </c>
      <c r="O47" s="5">
        <v>148517.84</v>
      </c>
      <c r="P47" s="5">
        <v>26589.690999999999</v>
      </c>
      <c r="Q47" s="5">
        <f t="shared" si="2"/>
        <v>-562.74100000000908</v>
      </c>
      <c r="R47" s="5">
        <f t="shared" si="3"/>
        <v>-226.52500000000146</v>
      </c>
    </row>
    <row r="48" spans="1:18" x14ac:dyDescent="0.2">
      <c r="A48" s="12">
        <v>45793</v>
      </c>
      <c r="B48" s="5">
        <v>175846.416</v>
      </c>
      <c r="C48" s="5">
        <v>149485.584</v>
      </c>
      <c r="D48" s="5">
        <v>26360.831999999999</v>
      </c>
      <c r="E48" s="5"/>
      <c r="F48" s="12">
        <v>45793</v>
      </c>
      <c r="G48" s="5">
        <f t="shared" si="0"/>
        <v>967.74400000000605</v>
      </c>
      <c r="H48" s="5">
        <f t="shared" si="1"/>
        <v>-228.85900000000038</v>
      </c>
      <c r="I48" s="13"/>
      <c r="M48" s="12">
        <v>45793</v>
      </c>
      <c r="N48" s="5">
        <v>175846.416</v>
      </c>
      <c r="O48" s="5">
        <v>149485.584</v>
      </c>
      <c r="P48" s="5">
        <v>26360.831999999999</v>
      </c>
      <c r="Q48" s="5">
        <f t="shared" si="2"/>
        <v>967.74400000000605</v>
      </c>
      <c r="R48" s="5">
        <f t="shared" si="3"/>
        <v>-228.85900000000038</v>
      </c>
    </row>
    <row r="49" spans="1:18" x14ac:dyDescent="0.2">
      <c r="A49" s="12">
        <v>45800</v>
      </c>
      <c r="B49" s="5">
        <v>177070.984</v>
      </c>
      <c r="C49" s="5">
        <v>150545.26199999999</v>
      </c>
      <c r="D49" s="5">
        <v>26525.722000000002</v>
      </c>
      <c r="E49" s="5"/>
      <c r="F49" s="12">
        <v>45800</v>
      </c>
      <c r="G49" s="5">
        <f t="shared" si="0"/>
        <v>1059.6779999999853</v>
      </c>
      <c r="H49" s="5">
        <f t="shared" si="1"/>
        <v>164.89000000000306</v>
      </c>
      <c r="I49" s="13"/>
      <c r="M49" s="12">
        <v>45800</v>
      </c>
      <c r="N49" s="5">
        <v>177070.984</v>
      </c>
      <c r="O49" s="5">
        <v>150545.26199999999</v>
      </c>
      <c r="P49" s="5">
        <v>26525.722000000002</v>
      </c>
      <c r="Q49" s="5">
        <f t="shared" si="2"/>
        <v>1059.6779999999853</v>
      </c>
      <c r="R49" s="5">
        <f t="shared" si="3"/>
        <v>164.89000000000306</v>
      </c>
    </row>
    <row r="50" spans="1:18" x14ac:dyDescent="0.2">
      <c r="A50" s="12">
        <v>45807</v>
      </c>
      <c r="B50" s="5">
        <v>181582.372</v>
      </c>
      <c r="C50" s="5">
        <v>154769.71400000001</v>
      </c>
      <c r="D50" s="5">
        <v>26812.657999999999</v>
      </c>
      <c r="E50" s="5"/>
      <c r="F50" s="12">
        <v>45807</v>
      </c>
      <c r="G50" s="5">
        <f t="shared" si="0"/>
        <v>4224.4520000000193</v>
      </c>
      <c r="H50" s="5">
        <f t="shared" si="1"/>
        <v>286.93599999999788</v>
      </c>
      <c r="I50" s="13"/>
      <c r="M50" s="12">
        <v>45807</v>
      </c>
      <c r="N50" s="5">
        <v>181582.372</v>
      </c>
      <c r="O50" s="5">
        <v>154769.71400000001</v>
      </c>
      <c r="P50" s="5">
        <v>26812.657999999999</v>
      </c>
      <c r="Q50" s="5">
        <f t="shared" si="2"/>
        <v>4224.4520000000193</v>
      </c>
      <c r="R50" s="5">
        <f t="shared" si="3"/>
        <v>286.93599999999788</v>
      </c>
    </row>
    <row r="51" spans="1:18" x14ac:dyDescent="0.2">
      <c r="A51" s="12">
        <v>45814</v>
      </c>
      <c r="B51" s="5">
        <v>181751.63800000001</v>
      </c>
      <c r="C51" s="5">
        <v>154752.766</v>
      </c>
      <c r="D51" s="5">
        <v>26998.871999999999</v>
      </c>
      <c r="E51" s="5"/>
      <c r="F51" s="12">
        <v>45814</v>
      </c>
      <c r="G51" s="5">
        <f t="shared" si="0"/>
        <v>-16.948000000003958</v>
      </c>
      <c r="H51" s="5">
        <f t="shared" si="1"/>
        <v>186.21399999999994</v>
      </c>
      <c r="I51" s="13"/>
      <c r="M51" s="12">
        <v>45814</v>
      </c>
      <c r="N51" s="5">
        <v>181751.63800000001</v>
      </c>
      <c r="O51" s="5">
        <v>154752.766</v>
      </c>
      <c r="P51" s="5">
        <v>26998.871999999999</v>
      </c>
      <c r="Q51" s="5">
        <f t="shared" si="2"/>
        <v>-16.948000000003958</v>
      </c>
      <c r="R51" s="5">
        <f t="shared" si="3"/>
        <v>186.21399999999994</v>
      </c>
    </row>
    <row r="52" spans="1:18" x14ac:dyDescent="0.2">
      <c r="A52" s="12">
        <v>45821</v>
      </c>
      <c r="B52" s="5">
        <v>182759.34</v>
      </c>
      <c r="C52" s="5">
        <v>154260.77100000001</v>
      </c>
      <c r="D52" s="5">
        <v>28498.569</v>
      </c>
      <c r="E52" s="5"/>
      <c r="F52" s="12">
        <v>45821</v>
      </c>
      <c r="G52" s="5">
        <f t="shared" si="0"/>
        <v>-491.99499999999534</v>
      </c>
      <c r="H52" s="5">
        <f t="shared" si="1"/>
        <v>1499.6970000000001</v>
      </c>
      <c r="I52" s="13"/>
      <c r="M52" s="12">
        <v>45821</v>
      </c>
      <c r="N52" s="5">
        <v>182759.34</v>
      </c>
      <c r="O52" s="5">
        <v>154260.77100000001</v>
      </c>
      <c r="P52" s="5">
        <v>28498.569</v>
      </c>
      <c r="Q52" s="5">
        <f t="shared" si="2"/>
        <v>-491.99499999999534</v>
      </c>
      <c r="R52" s="5">
        <f t="shared" si="3"/>
        <v>1499.6970000000001</v>
      </c>
    </row>
    <row r="53" spans="1:18" x14ac:dyDescent="0.2">
      <c r="A53" s="12">
        <v>45828</v>
      </c>
      <c r="B53" s="5">
        <v>183306.625</v>
      </c>
      <c r="C53" s="5">
        <v>154630.73699999999</v>
      </c>
      <c r="D53" s="5">
        <v>28675.887999999999</v>
      </c>
      <c r="E53" s="5"/>
      <c r="F53" s="12">
        <v>45828</v>
      </c>
      <c r="G53" s="5">
        <f t="shared" si="0"/>
        <v>369.9659999999858</v>
      </c>
      <c r="H53" s="5">
        <f t="shared" si="1"/>
        <v>177.31899999999951</v>
      </c>
      <c r="I53" s="13"/>
      <c r="M53" s="12">
        <v>45828</v>
      </c>
      <c r="N53" s="5">
        <v>183306.625</v>
      </c>
      <c r="O53" s="5">
        <v>154630.73699999999</v>
      </c>
      <c r="P53" s="5">
        <v>28675.887999999999</v>
      </c>
      <c r="Q53" s="5">
        <f t="shared" si="2"/>
        <v>369.9659999999858</v>
      </c>
      <c r="R53" s="5">
        <f t="shared" si="3"/>
        <v>177.31899999999951</v>
      </c>
    </row>
    <row r="54" spans="1:18" x14ac:dyDescent="0.2">
      <c r="A54" s="12">
        <v>45835</v>
      </c>
      <c r="B54" s="5">
        <v>187969.62400000001</v>
      </c>
      <c r="C54" s="5">
        <v>158245.23800000001</v>
      </c>
      <c r="D54" s="5">
        <v>29724.385999999999</v>
      </c>
      <c r="E54" s="5"/>
      <c r="F54" s="12">
        <v>45835</v>
      </c>
      <c r="G54" s="5">
        <f t="shared" si="0"/>
        <v>3614.5010000000184</v>
      </c>
      <c r="H54" s="5">
        <f t="shared" si="1"/>
        <v>1048.4979999999996</v>
      </c>
      <c r="I54" s="5"/>
      <c r="M54" s="12">
        <v>45835</v>
      </c>
      <c r="N54" s="5">
        <v>187969.62400000001</v>
      </c>
      <c r="O54" s="5">
        <v>158245.23800000001</v>
      </c>
      <c r="P54" s="5">
        <v>29724.385999999999</v>
      </c>
      <c r="Q54" s="5">
        <f t="shared" si="2"/>
        <v>3614.5010000000184</v>
      </c>
      <c r="R54" s="5">
        <f t="shared" si="3"/>
        <v>1048.4979999999996</v>
      </c>
    </row>
    <row r="55" spans="1:18" x14ac:dyDescent="0.2">
      <c r="A55" s="12">
        <v>45842</v>
      </c>
      <c r="B55" s="5">
        <v>193029.09</v>
      </c>
      <c r="C55" s="5">
        <v>161687.508</v>
      </c>
      <c r="D55" s="5">
        <v>31341.581999999999</v>
      </c>
      <c r="E55" s="5"/>
      <c r="F55" s="12">
        <v>45842</v>
      </c>
      <c r="G55" s="5">
        <f>_xlfn.FORECAST.ETS(F55,G3:G54,F3:F54)</f>
        <v>1581.2957762880558</v>
      </c>
      <c r="H55" s="13">
        <f>_xlfn.FORECAST.ETS(F55,H3:H54,F3:F54)</f>
        <v>476.3829882988245</v>
      </c>
      <c r="I55" s="5">
        <f>C54+G55</f>
        <v>159826.53377628807</v>
      </c>
      <c r="J55" s="5">
        <f>D54+H55</f>
        <v>30200.768988298823</v>
      </c>
      <c r="M55" s="12">
        <v>45842</v>
      </c>
      <c r="N55" s="5">
        <v>193029.09</v>
      </c>
      <c r="O55" s="5">
        <v>161687.508</v>
      </c>
      <c r="P55" s="5">
        <v>31341.581999999999</v>
      </c>
      <c r="Q55" s="5">
        <f t="shared" si="2"/>
        <v>3442.2699999999895</v>
      </c>
      <c r="R55" s="5">
        <f t="shared" si="3"/>
        <v>1617.1959999999999</v>
      </c>
    </row>
    <row r="56" spans="1:18" x14ac:dyDescent="0.2">
      <c r="A56" s="12">
        <v>45849</v>
      </c>
      <c r="B56" s="5">
        <v>193187.671</v>
      </c>
      <c r="C56" s="5">
        <v>161742.348</v>
      </c>
      <c r="D56" s="5">
        <v>31445.323</v>
      </c>
      <c r="E56" s="5"/>
      <c r="F56" s="12">
        <v>45849</v>
      </c>
      <c r="G56" s="5">
        <f t="shared" ref="G56:G95" si="4">_xlfn.FORECAST.ETS(F56,G4:G55,F4:F55)</f>
        <v>1646.1156951164983</v>
      </c>
      <c r="H56" s="13">
        <f t="shared" ref="H56:H95" si="5">_xlfn.FORECAST.ETS(F56,H4:H55,F4:F55)</f>
        <v>530.59920644752287</v>
      </c>
      <c r="I56" s="5">
        <f t="shared" ref="I56:I95" si="6">C55+G56</f>
        <v>163333.62369511649</v>
      </c>
      <c r="J56" s="5">
        <f t="shared" ref="J56:J95" si="7">D55+H56</f>
        <v>31872.18120644752</v>
      </c>
      <c r="M56" s="12">
        <v>45849</v>
      </c>
      <c r="N56" s="5">
        <v>193187.671</v>
      </c>
      <c r="O56" s="5">
        <v>161742.348</v>
      </c>
      <c r="P56" s="5">
        <v>31445.323</v>
      </c>
      <c r="Q56" s="5">
        <f t="shared" si="2"/>
        <v>54.839999999996508</v>
      </c>
      <c r="R56" s="5">
        <f t="shared" si="3"/>
        <v>103.7410000000018</v>
      </c>
    </row>
    <row r="57" spans="1:18" x14ac:dyDescent="0.2">
      <c r="A57" s="12">
        <v>45856</v>
      </c>
      <c r="B57" s="5">
        <v>192450.62100000001</v>
      </c>
      <c r="C57" s="5">
        <v>161312.864</v>
      </c>
      <c r="D57" s="5">
        <v>31137.757000000001</v>
      </c>
      <c r="E57" s="5"/>
      <c r="F57" s="12">
        <v>45856</v>
      </c>
      <c r="G57" s="5">
        <f t="shared" si="4"/>
        <v>1559.0453303429131</v>
      </c>
      <c r="H57" s="13">
        <f t="shared" si="5"/>
        <v>572.13292400617547</v>
      </c>
      <c r="I57" s="5">
        <f t="shared" si="6"/>
        <v>163301.39333034292</v>
      </c>
      <c r="J57" s="5">
        <f t="shared" si="7"/>
        <v>32017.455924006175</v>
      </c>
      <c r="M57" s="12">
        <v>45856</v>
      </c>
      <c r="N57" s="5">
        <v>192450.62100000001</v>
      </c>
      <c r="O57" s="5">
        <v>161312.864</v>
      </c>
      <c r="P57" s="5">
        <v>31137.757000000001</v>
      </c>
      <c r="Q57" s="5">
        <f t="shared" si="2"/>
        <v>-429.48399999999674</v>
      </c>
      <c r="R57" s="5">
        <f t="shared" si="3"/>
        <v>-307.56599999999889</v>
      </c>
    </row>
    <row r="58" spans="1:18" x14ac:dyDescent="0.2">
      <c r="A58" s="12">
        <v>45863</v>
      </c>
      <c r="B58" s="5">
        <v>192548.29699999999</v>
      </c>
      <c r="C58" s="5">
        <v>161184.41</v>
      </c>
      <c r="D58" s="5">
        <v>31363.886999999999</v>
      </c>
      <c r="E58" s="5"/>
      <c r="F58" s="12">
        <v>45863</v>
      </c>
      <c r="G58" s="5">
        <f t="shared" si="4"/>
        <v>1374.6744592803489</v>
      </c>
      <c r="H58" s="13">
        <f t="shared" si="5"/>
        <v>574.66216295523066</v>
      </c>
      <c r="I58" s="5">
        <f t="shared" si="6"/>
        <v>162687.53845928036</v>
      </c>
      <c r="J58" s="5">
        <f t="shared" si="7"/>
        <v>31712.419162955233</v>
      </c>
      <c r="M58" s="12">
        <v>45863</v>
      </c>
      <c r="N58" s="5">
        <v>192548.29699999999</v>
      </c>
      <c r="O58" s="5">
        <v>161184.41</v>
      </c>
      <c r="P58" s="5">
        <v>31363.886999999999</v>
      </c>
      <c r="Q58" s="5">
        <f t="shared" si="2"/>
        <v>-128.4539999999979</v>
      </c>
      <c r="R58" s="5">
        <f t="shared" si="3"/>
        <v>226.12999999999738</v>
      </c>
    </row>
    <row r="59" spans="1:18" x14ac:dyDescent="0.2">
      <c r="A59" s="12">
        <v>45870</v>
      </c>
      <c r="B59" s="5">
        <v>196259.356</v>
      </c>
      <c r="C59" s="5">
        <v>165558.44099999999</v>
      </c>
      <c r="D59" s="5">
        <v>30700.915000000001</v>
      </c>
      <c r="E59" s="5"/>
      <c r="F59" s="12">
        <v>45870</v>
      </c>
      <c r="G59" s="5">
        <f t="shared" si="4"/>
        <v>1648.268180842206</v>
      </c>
      <c r="H59" s="13">
        <f t="shared" si="5"/>
        <v>604.78758640998467</v>
      </c>
      <c r="I59" s="5">
        <f t="shared" si="6"/>
        <v>162832.67818084222</v>
      </c>
      <c r="J59" s="5">
        <f t="shared" si="7"/>
        <v>31968.674586409983</v>
      </c>
      <c r="M59" s="12">
        <v>45870</v>
      </c>
      <c r="N59" s="5">
        <v>196259.356</v>
      </c>
      <c r="O59" s="5">
        <v>165558.44099999999</v>
      </c>
      <c r="P59" s="5">
        <v>30700.915000000001</v>
      </c>
      <c r="Q59" s="5">
        <f t="shared" si="2"/>
        <v>4374.0309999999881</v>
      </c>
      <c r="R59" s="5">
        <f t="shared" si="3"/>
        <v>-662.97199999999793</v>
      </c>
    </row>
    <row r="60" spans="1:18" x14ac:dyDescent="0.2">
      <c r="A60" s="12">
        <v>45877</v>
      </c>
      <c r="B60" s="5">
        <v>196486.32199999999</v>
      </c>
      <c r="C60" s="5">
        <v>164995.60699999999</v>
      </c>
      <c r="D60" s="5">
        <v>31490.715</v>
      </c>
      <c r="E60" s="5"/>
      <c r="F60" s="12">
        <v>45877</v>
      </c>
      <c r="G60" s="5">
        <f t="shared" si="4"/>
        <v>1629.1327509443788</v>
      </c>
      <c r="H60" s="13">
        <f t="shared" si="5"/>
        <v>612.96761671297747</v>
      </c>
      <c r="I60" s="5">
        <f t="shared" si="6"/>
        <v>167187.57375094437</v>
      </c>
      <c r="J60" s="5">
        <f t="shared" si="7"/>
        <v>31313.882616712977</v>
      </c>
      <c r="M60" s="12">
        <v>45877</v>
      </c>
      <c r="N60" s="5">
        <v>196486.32199999999</v>
      </c>
      <c r="O60" s="5">
        <v>164995.60699999999</v>
      </c>
      <c r="P60" s="5">
        <v>31490.715</v>
      </c>
      <c r="Q60" s="5">
        <f t="shared" si="2"/>
        <v>-562.83400000000256</v>
      </c>
      <c r="R60" s="5">
        <f t="shared" si="3"/>
        <v>789.79999999999927</v>
      </c>
    </row>
    <row r="61" spans="1:18" x14ac:dyDescent="0.2">
      <c r="A61" s="12">
        <v>45884</v>
      </c>
      <c r="B61" s="5">
        <v>197524.31</v>
      </c>
      <c r="C61" s="5">
        <v>166037.28200000001</v>
      </c>
      <c r="D61" s="5">
        <v>31487.027999999998</v>
      </c>
      <c r="E61" s="5"/>
      <c r="F61" s="12">
        <v>45884</v>
      </c>
      <c r="G61" s="5">
        <f t="shared" si="4"/>
        <v>1643.1115175320433</v>
      </c>
      <c r="H61" s="13">
        <f t="shared" si="5"/>
        <v>639.8418545555221</v>
      </c>
      <c r="I61" s="5">
        <f t="shared" si="6"/>
        <v>166638.71851753202</v>
      </c>
      <c r="J61" s="5">
        <f t="shared" si="7"/>
        <v>32130.556854555522</v>
      </c>
      <c r="M61" s="12">
        <v>45884</v>
      </c>
      <c r="N61" s="5">
        <v>197524.31</v>
      </c>
      <c r="O61" s="5">
        <v>166037.28200000001</v>
      </c>
      <c r="P61" s="5">
        <v>31487.027999999998</v>
      </c>
      <c r="Q61" s="5">
        <f t="shared" si="2"/>
        <v>1041.6750000000175</v>
      </c>
      <c r="R61" s="5">
        <f t="shared" si="3"/>
        <v>-3.6870000000017171</v>
      </c>
    </row>
    <row r="62" spans="1:18" x14ac:dyDescent="0.2">
      <c r="A62" s="12">
        <v>45891</v>
      </c>
      <c r="B62" s="5">
        <v>196372.307</v>
      </c>
      <c r="C62" s="5">
        <v>165052.073</v>
      </c>
      <c r="D62" s="5">
        <v>31320.234</v>
      </c>
      <c r="E62" s="5"/>
      <c r="F62" s="12">
        <v>45891</v>
      </c>
      <c r="G62" s="5">
        <f t="shared" si="4"/>
        <v>1564.9274382399146</v>
      </c>
      <c r="H62" s="13">
        <f t="shared" si="5"/>
        <v>650.23365553138535</v>
      </c>
      <c r="I62" s="5">
        <f t="shared" si="6"/>
        <v>167602.20943823992</v>
      </c>
      <c r="J62" s="5">
        <f t="shared" si="7"/>
        <v>32137.261655531383</v>
      </c>
      <c r="M62" s="12">
        <v>45891</v>
      </c>
      <c r="N62" s="5">
        <v>196372.307</v>
      </c>
      <c r="O62" s="5">
        <v>165052.073</v>
      </c>
      <c r="P62" s="5">
        <v>31320.234</v>
      </c>
      <c r="Q62" s="5">
        <f t="shared" si="2"/>
        <v>-985.20900000000256</v>
      </c>
      <c r="R62" s="5">
        <f t="shared" si="3"/>
        <v>-166.79399999999805</v>
      </c>
    </row>
    <row r="63" spans="1:18" x14ac:dyDescent="0.2">
      <c r="A63" s="12">
        <v>45898</v>
      </c>
      <c r="B63" s="5">
        <v>199983.14300000001</v>
      </c>
      <c r="C63" s="5">
        <v>168857.97</v>
      </c>
      <c r="D63" s="5">
        <v>31125.172999999999</v>
      </c>
      <c r="E63" s="5"/>
      <c r="F63" s="12">
        <v>45898</v>
      </c>
      <c r="G63" s="5">
        <f t="shared" si="4"/>
        <v>1399.7102053237606</v>
      </c>
      <c r="H63" s="13">
        <f t="shared" si="5"/>
        <v>682.22260522904776</v>
      </c>
      <c r="I63" s="5">
        <f t="shared" si="6"/>
        <v>166451.78320532377</v>
      </c>
      <c r="J63" s="5">
        <f t="shared" si="7"/>
        <v>32002.456605229047</v>
      </c>
      <c r="M63" s="12">
        <v>45898</v>
      </c>
      <c r="N63" s="5">
        <v>199983.14300000001</v>
      </c>
      <c r="O63" s="5">
        <v>168857.97</v>
      </c>
      <c r="P63" s="5">
        <v>31125.172999999999</v>
      </c>
      <c r="Q63" s="5">
        <f t="shared" si="2"/>
        <v>3805.8969999999972</v>
      </c>
      <c r="R63" s="5">
        <f t="shared" si="3"/>
        <v>-195.06100000000151</v>
      </c>
    </row>
    <row r="64" spans="1:18" x14ac:dyDescent="0.2">
      <c r="A64" s="12">
        <v>45905</v>
      </c>
      <c r="B64" s="5">
        <v>198410.08100000001</v>
      </c>
      <c r="C64" s="5">
        <v>167426.73300000001</v>
      </c>
      <c r="D64" s="5">
        <v>30983.348000000002</v>
      </c>
      <c r="E64" s="5"/>
      <c r="F64" s="12">
        <v>45905</v>
      </c>
      <c r="G64" s="5">
        <f t="shared" si="4"/>
        <v>1689.7482572813335</v>
      </c>
      <c r="H64" s="13">
        <f t="shared" si="5"/>
        <v>754.57035012799361</v>
      </c>
      <c r="I64" s="5">
        <f t="shared" si="6"/>
        <v>170547.71825728135</v>
      </c>
      <c r="J64" s="5">
        <f t="shared" si="7"/>
        <v>31879.743350127992</v>
      </c>
      <c r="M64" s="12">
        <v>45905</v>
      </c>
      <c r="N64" s="5">
        <v>198410.08100000001</v>
      </c>
      <c r="O64" s="5">
        <v>167426.73300000001</v>
      </c>
      <c r="P64" s="5">
        <v>30983.348000000002</v>
      </c>
      <c r="Q64" s="5">
        <f t="shared" si="2"/>
        <v>-1431.2369999999937</v>
      </c>
      <c r="R64" s="5">
        <f t="shared" si="3"/>
        <v>-141.82499999999709</v>
      </c>
    </row>
    <row r="65" spans="1:18" x14ac:dyDescent="0.2">
      <c r="A65" s="12">
        <v>45912</v>
      </c>
      <c r="B65" s="5">
        <v>198778.49</v>
      </c>
      <c r="C65" s="5">
        <v>167680.05600000001</v>
      </c>
      <c r="D65" s="5">
        <v>31098.434000000001</v>
      </c>
      <c r="E65" s="5"/>
      <c r="F65" s="12">
        <v>45912</v>
      </c>
      <c r="G65" s="5">
        <f t="shared" si="4"/>
        <v>3261.0891931784363</v>
      </c>
      <c r="H65" s="13">
        <f t="shared" si="5"/>
        <v>763.63874635978948</v>
      </c>
      <c r="I65" s="5">
        <f t="shared" si="6"/>
        <v>170687.82219317844</v>
      </c>
      <c r="J65" s="5">
        <f t="shared" si="7"/>
        <v>31746.986746359791</v>
      </c>
      <c r="M65" s="12">
        <v>45912</v>
      </c>
      <c r="N65" s="5">
        <v>198778.49</v>
      </c>
      <c r="O65" s="5">
        <v>167680.05600000001</v>
      </c>
      <c r="P65" s="5">
        <v>31098.434000000001</v>
      </c>
      <c r="Q65" s="5">
        <f t="shared" si="2"/>
        <v>253.32300000000396</v>
      </c>
      <c r="R65" s="5">
        <f t="shared" si="3"/>
        <v>115.08599999999933</v>
      </c>
    </row>
    <row r="66" spans="1:18" x14ac:dyDescent="0.2">
      <c r="A66" s="12">
        <v>45919</v>
      </c>
      <c r="B66" s="5">
        <v>202137.92600000001</v>
      </c>
      <c r="C66" s="5">
        <v>170914.611</v>
      </c>
      <c r="D66" s="5">
        <v>31223.314999999999</v>
      </c>
      <c r="E66" s="5"/>
      <c r="F66" s="12">
        <v>45919</v>
      </c>
      <c r="G66" s="5">
        <f t="shared" si="4"/>
        <v>2782.3566994780053</v>
      </c>
      <c r="H66" s="13">
        <f t="shared" si="5"/>
        <v>736.84311685271098</v>
      </c>
      <c r="I66" s="5">
        <f t="shared" si="6"/>
        <v>170462.41269947801</v>
      </c>
      <c r="J66" s="5">
        <f t="shared" si="7"/>
        <v>31835.277116852711</v>
      </c>
      <c r="M66" s="12">
        <v>45919</v>
      </c>
      <c r="N66" s="5">
        <v>202137.92600000001</v>
      </c>
      <c r="O66" s="5">
        <v>170914.611</v>
      </c>
      <c r="P66" s="5">
        <v>31223.314999999999</v>
      </c>
      <c r="Q66" s="5">
        <f t="shared" si="2"/>
        <v>3234.554999999993</v>
      </c>
      <c r="R66" s="5">
        <f t="shared" si="3"/>
        <v>124.88099999999758</v>
      </c>
    </row>
    <row r="67" spans="1:18" x14ac:dyDescent="0.2">
      <c r="A67" s="12">
        <v>45926</v>
      </c>
      <c r="B67" s="5">
        <v>205967.06400000001</v>
      </c>
      <c r="C67" s="5">
        <v>174836.049</v>
      </c>
      <c r="D67" s="5">
        <v>31131.014999999999</v>
      </c>
      <c r="E67" s="5"/>
      <c r="F67" s="12">
        <v>45926</v>
      </c>
      <c r="G67" s="5">
        <f t="shared" si="4"/>
        <v>7578.5173395276497</v>
      </c>
      <c r="H67" s="13">
        <f t="shared" si="5"/>
        <v>757.91119374671348</v>
      </c>
      <c r="I67" s="5">
        <f t="shared" si="6"/>
        <v>178493.12833952764</v>
      </c>
      <c r="J67" s="5">
        <f t="shared" si="7"/>
        <v>31981.226193746712</v>
      </c>
      <c r="M67" s="12">
        <v>45926</v>
      </c>
      <c r="N67" s="5">
        <v>205967.06400000001</v>
      </c>
      <c r="O67" s="5">
        <v>174836.049</v>
      </c>
      <c r="P67" s="5">
        <v>31131.014999999999</v>
      </c>
      <c r="Q67" s="5">
        <f t="shared" si="2"/>
        <v>3921.4379999999946</v>
      </c>
      <c r="R67" s="5">
        <f t="shared" si="3"/>
        <v>-92.299999999999272</v>
      </c>
    </row>
    <row r="68" spans="1:18" x14ac:dyDescent="0.2">
      <c r="A68" s="12">
        <v>45933</v>
      </c>
      <c r="B68" s="5">
        <v>211669.36799999999</v>
      </c>
      <c r="C68" s="5">
        <v>180131.49900000001</v>
      </c>
      <c r="D68" s="5">
        <v>31537.868999999999</v>
      </c>
      <c r="E68" s="5"/>
      <c r="F68" s="12">
        <v>45933</v>
      </c>
      <c r="G68" s="5">
        <f t="shared" si="4"/>
        <v>95.781628187012075</v>
      </c>
      <c r="H68" s="13">
        <f t="shared" si="5"/>
        <v>996.02827986604711</v>
      </c>
      <c r="I68" s="5">
        <f t="shared" si="6"/>
        <v>174931.83062818702</v>
      </c>
      <c r="J68" s="5">
        <f t="shared" si="7"/>
        <v>32127.043279866048</v>
      </c>
      <c r="M68" s="12">
        <v>45933</v>
      </c>
      <c r="N68" s="5">
        <v>211669.36799999999</v>
      </c>
      <c r="O68" s="5">
        <v>180131.49900000001</v>
      </c>
      <c r="P68" s="5">
        <v>31537.868999999999</v>
      </c>
      <c r="Q68" s="5">
        <f t="shared" ref="Q68:Q95" si="8">O68-O67</f>
        <v>5295.4500000000116</v>
      </c>
      <c r="R68" s="5">
        <f t="shared" ref="R68:R95" si="9">P68-P67</f>
        <v>406.85399999999936</v>
      </c>
    </row>
    <row r="69" spans="1:18" x14ac:dyDescent="0.2">
      <c r="A69" s="12">
        <v>45940</v>
      </c>
      <c r="B69" s="5">
        <v>212832.065</v>
      </c>
      <c r="C69" s="5">
        <v>181281.62</v>
      </c>
      <c r="D69" s="5">
        <v>31550.445</v>
      </c>
      <c r="E69" s="5"/>
      <c r="F69" s="12">
        <v>45940</v>
      </c>
      <c r="G69" s="5">
        <f t="shared" si="4"/>
        <v>2048.3911765925836</v>
      </c>
      <c r="H69" s="13">
        <f t="shared" si="5"/>
        <v>747.19803960891261</v>
      </c>
      <c r="I69" s="5">
        <f t="shared" si="6"/>
        <v>182179.8901765926</v>
      </c>
      <c r="J69" s="5">
        <f t="shared" si="7"/>
        <v>32285.067039608912</v>
      </c>
      <c r="M69" s="12">
        <v>45940</v>
      </c>
      <c r="N69" s="5">
        <v>212832.065</v>
      </c>
      <c r="O69" s="5">
        <v>181281.62</v>
      </c>
      <c r="P69" s="5">
        <v>31550.445</v>
      </c>
      <c r="Q69" s="5">
        <f t="shared" si="8"/>
        <v>1150.1209999999846</v>
      </c>
      <c r="R69" s="5">
        <f t="shared" si="9"/>
        <v>12.576000000000931</v>
      </c>
    </row>
    <row r="70" spans="1:18" x14ac:dyDescent="0.2">
      <c r="A70" s="12">
        <v>45947</v>
      </c>
      <c r="B70" s="5">
        <v>215237.74799999999</v>
      </c>
      <c r="C70" s="5">
        <v>183604.34400000001</v>
      </c>
      <c r="D70" s="5">
        <v>31633.403999999999</v>
      </c>
      <c r="E70" s="5"/>
      <c r="F70" s="12">
        <v>45947</v>
      </c>
      <c r="G70" s="5">
        <f t="shared" si="4"/>
        <v>2091.3760537803969</v>
      </c>
      <c r="H70" s="13">
        <f t="shared" si="5"/>
        <v>1000.191689219074</v>
      </c>
      <c r="I70" s="5">
        <f t="shared" si="6"/>
        <v>183372.9960537804</v>
      </c>
      <c r="J70" s="5">
        <f t="shared" si="7"/>
        <v>32550.636689219074</v>
      </c>
      <c r="M70" s="12">
        <v>45947</v>
      </c>
      <c r="N70" s="5">
        <v>215237.74799999999</v>
      </c>
      <c r="O70" s="5">
        <v>183604.34400000001</v>
      </c>
      <c r="P70" s="5">
        <v>31633.403999999999</v>
      </c>
      <c r="Q70" s="5">
        <f t="shared" si="8"/>
        <v>2322.7240000000165</v>
      </c>
      <c r="R70" s="5">
        <f t="shared" si="9"/>
        <v>82.958999999998923</v>
      </c>
    </row>
    <row r="71" spans="1:18" x14ac:dyDescent="0.2">
      <c r="A71" s="12">
        <v>45954</v>
      </c>
      <c r="B71" s="5">
        <v>217691.68900000001</v>
      </c>
      <c r="C71" s="5">
        <v>186114.671</v>
      </c>
      <c r="D71" s="5">
        <v>31577.018</v>
      </c>
      <c r="E71" s="5"/>
      <c r="F71" s="12">
        <v>45954</v>
      </c>
      <c r="G71" s="5">
        <f t="shared" si="4"/>
        <v>2044.5892683319821</v>
      </c>
      <c r="H71" s="13">
        <f t="shared" si="5"/>
        <v>752.94110240223222</v>
      </c>
      <c r="I71" s="5">
        <f t="shared" si="6"/>
        <v>185648.93326833198</v>
      </c>
      <c r="J71" s="5">
        <f t="shared" si="7"/>
        <v>32386.345102402232</v>
      </c>
      <c r="M71" s="12">
        <v>45954</v>
      </c>
      <c r="N71" s="5">
        <v>217691.68900000001</v>
      </c>
      <c r="O71" s="5">
        <v>186114.671</v>
      </c>
      <c r="P71" s="5">
        <v>31577.018</v>
      </c>
      <c r="Q71" s="5">
        <f t="shared" si="8"/>
        <v>2510.3269999999902</v>
      </c>
      <c r="R71" s="5">
        <f t="shared" si="9"/>
        <v>-56.385999999998603</v>
      </c>
    </row>
    <row r="72" spans="1:18" x14ac:dyDescent="0.2">
      <c r="A72" s="12">
        <v>45961</v>
      </c>
      <c r="B72" s="5">
        <v>220839.12400000001</v>
      </c>
      <c r="C72" s="5">
        <v>189604.79500000001</v>
      </c>
      <c r="D72" s="5">
        <v>31234.329000000002</v>
      </c>
      <c r="E72" s="5"/>
      <c r="F72" s="12">
        <v>45961</v>
      </c>
      <c r="G72" s="5">
        <f t="shared" si="4"/>
        <v>1993.2210145069189</v>
      </c>
      <c r="H72" s="13">
        <f t="shared" si="5"/>
        <v>1037.5705660019519</v>
      </c>
      <c r="I72" s="5">
        <f t="shared" si="6"/>
        <v>188107.89201450691</v>
      </c>
      <c r="J72" s="5">
        <f t="shared" si="7"/>
        <v>32614.588566001952</v>
      </c>
      <c r="M72" s="12">
        <v>45961</v>
      </c>
      <c r="N72" s="5">
        <v>220839.12400000001</v>
      </c>
      <c r="O72" s="5">
        <v>189604.79500000001</v>
      </c>
      <c r="P72" s="5">
        <v>31234.329000000002</v>
      </c>
      <c r="Q72" s="5">
        <f t="shared" si="8"/>
        <v>3490.1240000000107</v>
      </c>
      <c r="R72" s="5">
        <f t="shared" si="9"/>
        <v>-342.68899999999849</v>
      </c>
    </row>
    <row r="73" spans="1:18" x14ac:dyDescent="0.2">
      <c r="A73" s="12">
        <v>45968</v>
      </c>
      <c r="B73" s="5">
        <v>222738.00899999999</v>
      </c>
      <c r="C73" s="5">
        <v>191530.90599999999</v>
      </c>
      <c r="D73" s="5">
        <v>31207.102999999999</v>
      </c>
      <c r="E73" s="5"/>
      <c r="F73" s="12">
        <v>45968</v>
      </c>
      <c r="G73" s="5">
        <f t="shared" si="4"/>
        <v>2368.5568906630233</v>
      </c>
      <c r="H73" s="13">
        <f>_xlfn.FORECAST.ETS(F73,H21:H72,F21:F72)</f>
        <v>812.45338647297706</v>
      </c>
      <c r="I73" s="5">
        <f t="shared" si="6"/>
        <v>191973.35189066303</v>
      </c>
      <c r="J73" s="5">
        <f t="shared" si="7"/>
        <v>32046.78238647298</v>
      </c>
      <c r="M73" s="12">
        <v>45968</v>
      </c>
      <c r="N73" s="5">
        <v>222738.00899999999</v>
      </c>
      <c r="O73" s="5">
        <v>191530.90599999999</v>
      </c>
      <c r="P73" s="5">
        <v>31207.102999999999</v>
      </c>
      <c r="Q73" s="5">
        <f t="shared" si="8"/>
        <v>1926.1109999999753</v>
      </c>
      <c r="R73" s="5">
        <f t="shared" si="9"/>
        <v>-27.226000000002387</v>
      </c>
    </row>
    <row r="74" spans="1:18" x14ac:dyDescent="0.2">
      <c r="A74" s="12">
        <v>45975</v>
      </c>
      <c r="B74" s="5">
        <v>225971.94399999999</v>
      </c>
      <c r="C74" s="5">
        <v>194550.277</v>
      </c>
      <c r="D74" s="5">
        <v>31421.667000000001</v>
      </c>
      <c r="E74" s="5"/>
      <c r="F74" s="12">
        <v>45975</v>
      </c>
      <c r="G74" s="5">
        <f t="shared" si="4"/>
        <v>2197.1561217981184</v>
      </c>
      <c r="H74" s="13">
        <f t="shared" si="5"/>
        <v>1119.6524481821709</v>
      </c>
      <c r="I74" s="5">
        <f t="shared" si="6"/>
        <v>193728.06212179811</v>
      </c>
      <c r="J74" s="5">
        <f>D73+H74</f>
        <v>32326.755448182172</v>
      </c>
      <c r="M74" s="12">
        <v>45975</v>
      </c>
      <c r="N74" s="5">
        <v>225971.94399999999</v>
      </c>
      <c r="O74" s="5">
        <v>194550.277</v>
      </c>
      <c r="P74" s="5">
        <v>31421.667000000001</v>
      </c>
      <c r="Q74" s="5">
        <f t="shared" si="8"/>
        <v>3019.3710000000137</v>
      </c>
      <c r="R74" s="5">
        <f t="shared" si="9"/>
        <v>214.56400000000212</v>
      </c>
    </row>
    <row r="75" spans="1:18" x14ac:dyDescent="0.2">
      <c r="A75" s="12">
        <v>45982</v>
      </c>
      <c r="B75" s="5">
        <v>228469.427</v>
      </c>
      <c r="C75" s="5">
        <v>197242.70699999999</v>
      </c>
      <c r="D75" s="5">
        <v>31226.720000000001</v>
      </c>
      <c r="E75" s="5"/>
      <c r="F75" s="12">
        <v>45982</v>
      </c>
      <c r="G75" s="5">
        <f t="shared" si="4"/>
        <v>2177.5808541369179</v>
      </c>
      <c r="H75" s="13">
        <f t="shared" si="5"/>
        <v>787.72871403486943</v>
      </c>
      <c r="I75" s="5">
        <f t="shared" si="6"/>
        <v>196727.85785413691</v>
      </c>
      <c r="J75" s="5">
        <f t="shared" si="7"/>
        <v>32209.395714034872</v>
      </c>
      <c r="M75" s="12">
        <v>45982</v>
      </c>
      <c r="N75" s="5">
        <v>228469.427</v>
      </c>
      <c r="O75" s="5">
        <v>197242.70699999999</v>
      </c>
      <c r="P75" s="5">
        <v>31226.720000000001</v>
      </c>
      <c r="Q75" s="5">
        <f t="shared" si="8"/>
        <v>2692.429999999993</v>
      </c>
      <c r="R75" s="5">
        <f t="shared" si="9"/>
        <v>-194.94700000000012</v>
      </c>
    </row>
    <row r="76" spans="1:18" x14ac:dyDescent="0.2">
      <c r="A76" s="12">
        <v>45989</v>
      </c>
      <c r="B76" s="5">
        <v>240787.47899999999</v>
      </c>
      <c r="C76" s="5">
        <v>208438.098</v>
      </c>
      <c r="D76" s="5">
        <v>32349.381000000001</v>
      </c>
      <c r="E76" s="5"/>
      <c r="F76" s="12">
        <v>45989</v>
      </c>
      <c r="G76" s="5">
        <f t="shared" si="4"/>
        <v>2253.6396125043225</v>
      </c>
      <c r="H76" s="13">
        <f t="shared" si="5"/>
        <v>1165.8577797917717</v>
      </c>
      <c r="I76" s="5">
        <f t="shared" si="6"/>
        <v>199496.34661250431</v>
      </c>
      <c r="J76" s="5">
        <f t="shared" si="7"/>
        <v>32392.577779791773</v>
      </c>
      <c r="M76" s="12">
        <v>45989</v>
      </c>
      <c r="N76" s="5">
        <v>240787.47899999999</v>
      </c>
      <c r="O76" s="5">
        <v>208438.098</v>
      </c>
      <c r="P76" s="5">
        <v>32349.381000000001</v>
      </c>
      <c r="Q76" s="5">
        <f t="shared" si="8"/>
        <v>11195.391000000003</v>
      </c>
      <c r="R76" s="5">
        <f t="shared" si="9"/>
        <v>1122.6610000000001</v>
      </c>
    </row>
    <row r="77" spans="1:18" x14ac:dyDescent="0.2">
      <c r="A77" s="12">
        <v>45996</v>
      </c>
      <c r="B77" s="5">
        <v>242875.53</v>
      </c>
      <c r="C77" s="5">
        <v>210306.47899999999</v>
      </c>
      <c r="D77" s="5">
        <v>32569.050999999999</v>
      </c>
      <c r="E77" s="5"/>
      <c r="F77" s="12">
        <v>45996</v>
      </c>
      <c r="G77" s="5">
        <f t="shared" si="4"/>
        <v>2497.1399775749969</v>
      </c>
      <c r="H77" s="13">
        <f t="shared" si="5"/>
        <v>891.45702050910199</v>
      </c>
      <c r="I77" s="5">
        <f>C76+G77</f>
        <v>210935.23797757499</v>
      </c>
      <c r="J77" s="5">
        <f t="shared" si="7"/>
        <v>33240.838020509102</v>
      </c>
      <c r="M77" s="12">
        <v>45996</v>
      </c>
      <c r="N77" s="5">
        <v>242875.53</v>
      </c>
      <c r="O77" s="5">
        <v>210306.47899999999</v>
      </c>
      <c r="P77" s="5">
        <v>32569.050999999999</v>
      </c>
      <c r="Q77" s="5">
        <f t="shared" si="8"/>
        <v>1868.3809999999939</v>
      </c>
      <c r="R77" s="5">
        <f t="shared" si="9"/>
        <v>219.66999999999825</v>
      </c>
    </row>
    <row r="78" spans="1:18" x14ac:dyDescent="0.2">
      <c r="A78" s="12">
        <v>46003</v>
      </c>
      <c r="B78" s="5">
        <v>246590.80799999999</v>
      </c>
      <c r="C78" s="5">
        <v>213838.48199999999</v>
      </c>
      <c r="D78" s="5">
        <v>32752.326000000001</v>
      </c>
      <c r="E78" s="5"/>
      <c r="F78" s="12">
        <v>46003</v>
      </c>
      <c r="G78" s="5">
        <f t="shared" si="4"/>
        <v>2328.0382844262831</v>
      </c>
      <c r="H78" s="13">
        <f t="shared" si="5"/>
        <v>1174.255709195081</v>
      </c>
      <c r="I78" s="5">
        <f t="shared" si="6"/>
        <v>212634.51728442629</v>
      </c>
      <c r="J78" s="5">
        <f t="shared" si="7"/>
        <v>33743.30670919508</v>
      </c>
      <c r="M78" s="12">
        <v>46003</v>
      </c>
      <c r="N78" s="5">
        <v>246590.80799999999</v>
      </c>
      <c r="O78" s="5">
        <v>213838.48199999999</v>
      </c>
      <c r="P78" s="5">
        <v>32752.326000000001</v>
      </c>
      <c r="Q78" s="5">
        <f t="shared" si="8"/>
        <v>3532.002999999997</v>
      </c>
      <c r="R78" s="5">
        <f t="shared" si="9"/>
        <v>183.27500000000146</v>
      </c>
    </row>
    <row r="79" spans="1:18" x14ac:dyDescent="0.2">
      <c r="A79" s="12">
        <v>46010</v>
      </c>
      <c r="B79" s="5">
        <v>252455.73199999999</v>
      </c>
      <c r="C79" s="5">
        <v>219751.98300000001</v>
      </c>
      <c r="D79" s="5">
        <v>32703.749</v>
      </c>
      <c r="E79" s="5"/>
      <c r="F79" s="12">
        <v>46010</v>
      </c>
      <c r="G79" s="5">
        <f t="shared" si="4"/>
        <v>2332.2913767451005</v>
      </c>
      <c r="H79" s="13">
        <f t="shared" si="5"/>
        <v>930.72570959629115</v>
      </c>
      <c r="I79" s="5">
        <f t="shared" si="6"/>
        <v>216170.77337674508</v>
      </c>
      <c r="J79" s="5">
        <f t="shared" si="7"/>
        <v>33683.051709596293</v>
      </c>
      <c r="M79" s="12">
        <v>46010</v>
      </c>
      <c r="N79" s="5">
        <v>252455.73199999999</v>
      </c>
      <c r="O79" s="5">
        <v>219751.98300000001</v>
      </c>
      <c r="P79" s="5">
        <v>32703.749</v>
      </c>
      <c r="Q79" s="5">
        <f t="shared" si="8"/>
        <v>5913.5010000000184</v>
      </c>
      <c r="R79" s="5">
        <f t="shared" si="9"/>
        <v>-48.577000000001135</v>
      </c>
    </row>
    <row r="80" spans="1:18" x14ac:dyDescent="0.2">
      <c r="A80" s="12">
        <v>46017</v>
      </c>
      <c r="B80" s="5">
        <v>266258.93699999998</v>
      </c>
      <c r="C80" s="5">
        <v>233310.17300000001</v>
      </c>
      <c r="D80" s="5">
        <v>32948.764000000003</v>
      </c>
      <c r="E80" s="5"/>
      <c r="F80" s="12">
        <v>46017</v>
      </c>
      <c r="G80" s="5">
        <f t="shared" si="4"/>
        <v>2361.8201886950669</v>
      </c>
      <c r="H80" s="13">
        <f t="shared" si="5"/>
        <v>1191.3803590360837</v>
      </c>
      <c r="I80" s="5">
        <f t="shared" si="6"/>
        <v>222113.80318869508</v>
      </c>
      <c r="J80" s="5">
        <f t="shared" si="7"/>
        <v>33895.12935903608</v>
      </c>
      <c r="M80" s="12">
        <v>46017</v>
      </c>
      <c r="N80" s="5">
        <v>266258.93699999998</v>
      </c>
      <c r="O80" s="5">
        <v>233310.17300000001</v>
      </c>
      <c r="P80" s="5">
        <v>32948.764000000003</v>
      </c>
      <c r="Q80" s="5">
        <f t="shared" si="8"/>
        <v>13558.190000000002</v>
      </c>
      <c r="R80" s="5">
        <f t="shared" si="9"/>
        <v>245.01500000000306</v>
      </c>
    </row>
    <row r="81" spans="1:18" x14ac:dyDescent="0.2">
      <c r="A81" s="12">
        <v>46024</v>
      </c>
      <c r="B81" s="5">
        <v>275148.32699999999</v>
      </c>
      <c r="C81" s="5">
        <v>241222.60800000001</v>
      </c>
      <c r="D81" s="5">
        <v>33925.718999999997</v>
      </c>
      <c r="E81" s="5"/>
      <c r="F81" s="12">
        <v>46024</v>
      </c>
      <c r="G81" s="5">
        <f t="shared" si="4"/>
        <v>2486.516414790271</v>
      </c>
      <c r="H81" s="13">
        <f t="shared" si="5"/>
        <v>987.51681736571663</v>
      </c>
      <c r="I81" s="5">
        <f t="shared" si="6"/>
        <v>235796.68941479028</v>
      </c>
      <c r="J81" s="5">
        <f t="shared" si="7"/>
        <v>33936.280817365718</v>
      </c>
      <c r="M81" s="12">
        <v>46024</v>
      </c>
      <c r="N81" s="5">
        <v>275148.32699999999</v>
      </c>
      <c r="O81" s="5">
        <v>241222.60800000001</v>
      </c>
      <c r="P81" s="5">
        <v>33925.718999999997</v>
      </c>
      <c r="Q81" s="5">
        <f t="shared" si="8"/>
        <v>7912.4349999999977</v>
      </c>
      <c r="R81" s="5">
        <f t="shared" si="9"/>
        <v>976.95499999999447</v>
      </c>
    </row>
    <row r="82" spans="1:18" x14ac:dyDescent="0.2">
      <c r="A82" s="12">
        <v>46031</v>
      </c>
      <c r="B82" s="5">
        <v>275327.82500000001</v>
      </c>
      <c r="C82" s="5">
        <v>241410.17199999999</v>
      </c>
      <c r="D82" s="5">
        <v>33917.652999999998</v>
      </c>
      <c r="E82" s="5"/>
      <c r="F82" s="12">
        <v>46031</v>
      </c>
      <c r="G82" s="5">
        <f t="shared" si="4"/>
        <v>2779.9469950894786</v>
      </c>
      <c r="H82" s="13">
        <f t="shared" si="5"/>
        <v>1275.5530310747638</v>
      </c>
      <c r="I82" s="5">
        <f t="shared" si="6"/>
        <v>244002.55499508948</v>
      </c>
      <c r="J82" s="5">
        <f t="shared" si="7"/>
        <v>35201.272031074761</v>
      </c>
      <c r="M82" s="12">
        <v>46031</v>
      </c>
      <c r="N82" s="5">
        <v>275327.82500000001</v>
      </c>
      <c r="O82" s="5">
        <v>241410.17199999999</v>
      </c>
      <c r="P82" s="5">
        <v>33917.652999999998</v>
      </c>
      <c r="Q82" s="5">
        <f t="shared" si="8"/>
        <v>187.56399999998393</v>
      </c>
      <c r="R82" s="5">
        <f t="shared" si="9"/>
        <v>-8.0659999999988941</v>
      </c>
    </row>
    <row r="83" spans="1:18" x14ac:dyDescent="0.2">
      <c r="A83" s="12">
        <v>46038</v>
      </c>
      <c r="B83" s="5">
        <v>274327.55699999997</v>
      </c>
      <c r="C83" s="5">
        <v>240435.28400000001</v>
      </c>
      <c r="D83" s="5">
        <v>33892.273000000001</v>
      </c>
      <c r="E83" s="5"/>
      <c r="F83" s="12">
        <v>46038</v>
      </c>
      <c r="G83" s="5">
        <f t="shared" si="4"/>
        <v>2868.6339869491703</v>
      </c>
      <c r="H83" s="13">
        <f t="shared" si="5"/>
        <v>1024.2005912922989</v>
      </c>
      <c r="I83" s="5">
        <f t="shared" si="6"/>
        <v>244278.80598694916</v>
      </c>
      <c r="J83" s="5">
        <f t="shared" si="7"/>
        <v>34941.853591292296</v>
      </c>
      <c r="M83" s="12">
        <v>46038</v>
      </c>
      <c r="N83" s="5">
        <v>274327.55699999997</v>
      </c>
      <c r="O83" s="5">
        <v>240435.28400000001</v>
      </c>
      <c r="P83" s="5">
        <v>33892.273000000001</v>
      </c>
      <c r="Q83" s="5">
        <f t="shared" si="8"/>
        <v>-974.88799999997718</v>
      </c>
      <c r="R83" s="5">
        <f t="shared" si="9"/>
        <v>-25.379999999997381</v>
      </c>
    </row>
    <row r="84" spans="1:18" x14ac:dyDescent="0.2">
      <c r="A84" s="12">
        <v>46045</v>
      </c>
      <c r="B84" s="5">
        <v>271160.065</v>
      </c>
      <c r="C84" s="5">
        <v>237487.516</v>
      </c>
      <c r="D84" s="5">
        <v>33672.548999999999</v>
      </c>
      <c r="E84" s="5"/>
      <c r="F84" s="12">
        <v>46045</v>
      </c>
      <c r="G84" s="5">
        <f t="shared" si="4"/>
        <v>2863.3760494529624</v>
      </c>
      <c r="H84" s="13">
        <f t="shared" si="5"/>
        <v>1287.884467070621</v>
      </c>
      <c r="I84" s="5">
        <f t="shared" si="6"/>
        <v>243298.66004945297</v>
      </c>
      <c r="J84" s="5">
        <f t="shared" si="7"/>
        <v>35180.157467070625</v>
      </c>
      <c r="M84" s="12">
        <v>46045</v>
      </c>
      <c r="N84" s="5">
        <v>271160.065</v>
      </c>
      <c r="O84" s="5">
        <v>237487.516</v>
      </c>
      <c r="P84" s="5">
        <v>33672.548999999999</v>
      </c>
      <c r="Q84" s="5">
        <f t="shared" si="8"/>
        <v>-2947.7680000000109</v>
      </c>
      <c r="R84" s="5">
        <f t="shared" si="9"/>
        <v>-219.72400000000198</v>
      </c>
    </row>
    <row r="85" spans="1:18" x14ac:dyDescent="0.2">
      <c r="A85" s="12">
        <v>46052</v>
      </c>
      <c r="B85" s="5">
        <v>273525.24</v>
      </c>
      <c r="C85" s="5">
        <v>239450.42600000001</v>
      </c>
      <c r="D85" s="5">
        <v>34074.813999999998</v>
      </c>
      <c r="E85" s="5"/>
      <c r="F85" s="12">
        <v>46052</v>
      </c>
      <c r="G85" s="5">
        <f t="shared" si="4"/>
        <v>2874.1417175540164</v>
      </c>
      <c r="H85" s="13">
        <f t="shared" si="5"/>
        <v>1077.7152253566492</v>
      </c>
      <c r="I85" s="5">
        <f t="shared" si="6"/>
        <v>240361.65771755402</v>
      </c>
      <c r="J85" s="5">
        <f t="shared" si="7"/>
        <v>34750.264225356645</v>
      </c>
      <c r="M85" s="12">
        <v>46052</v>
      </c>
      <c r="N85" s="5">
        <v>273525.24</v>
      </c>
      <c r="O85" s="5">
        <v>239450.42600000001</v>
      </c>
      <c r="P85" s="5">
        <v>34074.813999999998</v>
      </c>
      <c r="Q85" s="5">
        <f t="shared" si="8"/>
        <v>1962.9100000000035</v>
      </c>
      <c r="R85" s="5">
        <f t="shared" si="9"/>
        <v>402.26499999999942</v>
      </c>
    </row>
    <row r="86" spans="1:18" x14ac:dyDescent="0.2">
      <c r="A86" s="12">
        <v>46059</v>
      </c>
      <c r="B86" s="5">
        <v>272319.16800000001</v>
      </c>
      <c r="C86" s="5">
        <v>238793.234</v>
      </c>
      <c r="D86" s="5">
        <v>33525.934000000001</v>
      </c>
      <c r="E86" s="5"/>
      <c r="F86" s="12">
        <v>46059</v>
      </c>
      <c r="G86" s="5">
        <f t="shared" si="4"/>
        <v>2906.037673290778</v>
      </c>
      <c r="H86" s="13">
        <f t="shared" si="5"/>
        <v>1335.7347521849999</v>
      </c>
      <c r="I86" s="5">
        <f t="shared" si="6"/>
        <v>242356.4636732908</v>
      </c>
      <c r="J86" s="5">
        <f t="shared" si="7"/>
        <v>35410.548752185001</v>
      </c>
      <c r="M86" s="12">
        <v>46059</v>
      </c>
      <c r="N86" s="5">
        <v>272319.16800000001</v>
      </c>
      <c r="O86" s="5">
        <v>238793.234</v>
      </c>
      <c r="P86" s="5">
        <v>33525.934000000001</v>
      </c>
      <c r="Q86" s="5">
        <f t="shared" si="8"/>
        <v>-657.19200000001001</v>
      </c>
      <c r="R86" s="5">
        <f t="shared" si="9"/>
        <v>-548.87999999999738</v>
      </c>
    </row>
    <row r="87" spans="1:18" x14ac:dyDescent="0.2">
      <c r="A87" s="12">
        <v>46066</v>
      </c>
      <c r="B87" s="5">
        <v>271884.76899999997</v>
      </c>
      <c r="C87" s="5">
        <v>238240.47399999999</v>
      </c>
      <c r="D87" s="5">
        <v>33644.294999999998</v>
      </c>
      <c r="E87" s="5"/>
      <c r="F87" s="12">
        <v>46066</v>
      </c>
      <c r="G87" s="5">
        <f t="shared" si="4"/>
        <v>2764.030421886262</v>
      </c>
      <c r="H87" s="13">
        <f t="shared" si="5"/>
        <v>1040.9845509319262</v>
      </c>
      <c r="I87" s="5">
        <f t="shared" si="6"/>
        <v>241557.26442188627</v>
      </c>
      <c r="J87" s="5">
        <f t="shared" si="7"/>
        <v>34566.918550931929</v>
      </c>
      <c r="M87" s="12">
        <v>46066</v>
      </c>
      <c r="N87" s="5">
        <v>271884.76899999997</v>
      </c>
      <c r="O87" s="5">
        <v>238240.47399999999</v>
      </c>
      <c r="P87" s="5">
        <v>33644.294999999998</v>
      </c>
      <c r="Q87" s="5">
        <f t="shared" si="8"/>
        <v>-552.76000000000931</v>
      </c>
      <c r="R87" s="5">
        <f t="shared" si="9"/>
        <v>118.36099999999715</v>
      </c>
    </row>
    <row r="88" spans="1:18" x14ac:dyDescent="0.2">
      <c r="A88" s="12">
        <v>46073</v>
      </c>
      <c r="B88" s="5">
        <v>273105.46899999998</v>
      </c>
      <c r="C88" s="5">
        <v>239778.11199999999</v>
      </c>
      <c r="D88" s="5">
        <v>33327.357000000004</v>
      </c>
      <c r="E88" s="5"/>
      <c r="F88" s="12">
        <v>46073</v>
      </c>
      <c r="G88" s="5">
        <f t="shared" si="4"/>
        <v>2847.3128469517078</v>
      </c>
      <c r="H88" s="13">
        <f t="shared" si="5"/>
        <v>1526.6953241082413</v>
      </c>
      <c r="I88" s="5">
        <f t="shared" si="6"/>
        <v>241087.7868469517</v>
      </c>
      <c r="J88" s="5">
        <f t="shared" si="7"/>
        <v>35170.990324108243</v>
      </c>
      <c r="M88" s="12">
        <v>46073</v>
      </c>
      <c r="N88" s="5">
        <v>273105.46899999998</v>
      </c>
      <c r="O88" s="5">
        <v>239778.11199999999</v>
      </c>
      <c r="P88" s="5">
        <v>33327.357000000004</v>
      </c>
      <c r="Q88" s="5">
        <f t="shared" si="8"/>
        <v>1537.6380000000063</v>
      </c>
      <c r="R88" s="5">
        <f t="shared" si="9"/>
        <v>-316.93799999999464</v>
      </c>
    </row>
    <row r="89" spans="1:18" x14ac:dyDescent="0.2">
      <c r="A89" s="12">
        <v>46080</v>
      </c>
      <c r="B89" s="5">
        <v>276634.73700000002</v>
      </c>
      <c r="C89" s="5">
        <v>242731.57500000001</v>
      </c>
      <c r="D89" s="5">
        <v>33903.161999999997</v>
      </c>
      <c r="E89" s="5"/>
      <c r="F89" s="12">
        <v>46080</v>
      </c>
      <c r="G89" s="5">
        <f t="shared" si="4"/>
        <v>2782.1118673195001</v>
      </c>
      <c r="H89" s="13">
        <f t="shared" si="5"/>
        <v>1096.7545428253597</v>
      </c>
      <c r="I89" s="5">
        <f t="shared" si="6"/>
        <v>242560.2238673195</v>
      </c>
      <c r="J89" s="5">
        <f t="shared" si="7"/>
        <v>34424.111542825362</v>
      </c>
      <c r="M89" s="12">
        <v>46080</v>
      </c>
      <c r="N89" s="5">
        <v>276634.73700000002</v>
      </c>
      <c r="O89" s="5">
        <v>242731.57500000001</v>
      </c>
      <c r="P89" s="5">
        <v>33903.161999999997</v>
      </c>
      <c r="Q89" s="5">
        <f t="shared" si="8"/>
        <v>2953.4630000000179</v>
      </c>
      <c r="R89" s="5">
        <f t="shared" si="9"/>
        <v>575.80499999999302</v>
      </c>
    </row>
    <row r="90" spans="1:18" x14ac:dyDescent="0.2">
      <c r="A90" s="12">
        <v>46087</v>
      </c>
      <c r="B90" s="5">
        <v>273458.408</v>
      </c>
      <c r="C90" s="5">
        <v>240131.22899999999</v>
      </c>
      <c r="D90" s="5">
        <v>33327.178999999996</v>
      </c>
      <c r="E90" s="5"/>
      <c r="F90" s="12">
        <v>46087</v>
      </c>
      <c r="G90" s="5">
        <f t="shared" si="4"/>
        <v>3031.8523584084073</v>
      </c>
      <c r="H90" s="13">
        <f>_xlfn.FORECAST.ETS(F90,H38:H89,F38:F89)</f>
        <v>1422.977320809149</v>
      </c>
      <c r="I90" s="5">
        <f t="shared" si="6"/>
        <v>245763.42735840843</v>
      </c>
      <c r="J90" s="5">
        <f>D89+H90</f>
        <v>35326.139320809147</v>
      </c>
      <c r="M90" s="12">
        <v>46087</v>
      </c>
      <c r="N90" s="5">
        <v>273458.408</v>
      </c>
      <c r="O90" s="5">
        <v>240131.22899999999</v>
      </c>
      <c r="P90" s="5">
        <v>33327.178999999996</v>
      </c>
      <c r="Q90" s="5">
        <f t="shared" si="8"/>
        <v>-2600.3460000000196</v>
      </c>
      <c r="R90" s="5">
        <f t="shared" si="9"/>
        <v>-575.98300000000017</v>
      </c>
    </row>
    <row r="91" spans="1:18" x14ac:dyDescent="0.2">
      <c r="A91" s="12">
        <v>46094</v>
      </c>
      <c r="B91" s="5">
        <v>274306.663</v>
      </c>
      <c r="C91" s="5">
        <v>241160.25</v>
      </c>
      <c r="D91" s="5">
        <v>33146.413</v>
      </c>
      <c r="E91" s="5"/>
      <c r="F91" s="12">
        <v>46094</v>
      </c>
      <c r="G91" s="5">
        <f t="shared" si="4"/>
        <v>2844.0026721315544</v>
      </c>
      <c r="H91" s="13">
        <f t="shared" si="5"/>
        <v>1085.9699847675474</v>
      </c>
      <c r="I91" s="5">
        <f t="shared" si="6"/>
        <v>242975.23167213154</v>
      </c>
      <c r="J91" s="5">
        <f t="shared" si="7"/>
        <v>34413.14898476754</v>
      </c>
      <c r="M91" s="12">
        <v>46094</v>
      </c>
      <c r="N91" s="5">
        <v>274306.663</v>
      </c>
      <c r="O91" s="5">
        <v>241160.25</v>
      </c>
      <c r="P91" s="5">
        <v>33146.413</v>
      </c>
      <c r="Q91" s="5">
        <f t="shared" si="8"/>
        <v>1029.0210000000079</v>
      </c>
      <c r="R91" s="5">
        <f t="shared" si="9"/>
        <v>-180.76599999999598</v>
      </c>
    </row>
    <row r="92" spans="1:18" x14ac:dyDescent="0.2">
      <c r="A92" s="12">
        <v>46101</v>
      </c>
      <c r="B92" s="5">
        <v>273717.86599999998</v>
      </c>
      <c r="C92" s="5">
        <v>240782.54699999999</v>
      </c>
      <c r="D92" s="5">
        <v>32935.319000000003</v>
      </c>
      <c r="E92" s="5"/>
      <c r="F92" s="12">
        <v>46101</v>
      </c>
      <c r="G92" s="5">
        <f t="shared" si="4"/>
        <v>2925.90185120143</v>
      </c>
      <c r="H92" s="13">
        <f t="shared" si="5"/>
        <v>1473.3516810599754</v>
      </c>
      <c r="I92" s="5">
        <f t="shared" si="6"/>
        <v>244086.15185120143</v>
      </c>
      <c r="J92" s="5">
        <f t="shared" si="7"/>
        <v>34619.764681059976</v>
      </c>
      <c r="M92" s="12">
        <v>46101</v>
      </c>
      <c r="N92" s="5">
        <v>273717.86599999998</v>
      </c>
      <c r="O92" s="5">
        <v>240782.54699999999</v>
      </c>
      <c r="P92" s="5">
        <v>32935.319000000003</v>
      </c>
      <c r="Q92" s="5">
        <f t="shared" si="8"/>
        <v>-377.70300000000861</v>
      </c>
      <c r="R92" s="5">
        <f t="shared" si="9"/>
        <v>-211.09399999999732</v>
      </c>
    </row>
    <row r="93" spans="1:18" x14ac:dyDescent="0.2">
      <c r="A93" s="12">
        <v>46108</v>
      </c>
      <c r="B93" s="5">
        <v>274572.234</v>
      </c>
      <c r="C93" s="5">
        <v>240779.802</v>
      </c>
      <c r="D93" s="5">
        <v>33792.432000000001</v>
      </c>
      <c r="E93" s="5"/>
      <c r="F93" s="12">
        <v>46108</v>
      </c>
      <c r="G93" s="5">
        <f t="shared" si="4"/>
        <v>2958.9109453391652</v>
      </c>
      <c r="H93" s="13">
        <f t="shared" si="5"/>
        <v>1131.8760208216006</v>
      </c>
      <c r="I93" s="5">
        <f t="shared" si="6"/>
        <v>243741.45794533915</v>
      </c>
      <c r="J93" s="5">
        <f t="shared" si="7"/>
        <v>34067.1950208216</v>
      </c>
      <c r="M93" s="12">
        <v>46108</v>
      </c>
      <c r="N93" s="5">
        <v>274572.234</v>
      </c>
      <c r="O93" s="5">
        <v>240779.802</v>
      </c>
      <c r="P93" s="5">
        <v>33792.432000000001</v>
      </c>
      <c r="Q93" s="5">
        <f t="shared" si="8"/>
        <v>-2.7449999999953434</v>
      </c>
      <c r="R93" s="5">
        <f t="shared" si="9"/>
        <v>857.11299999999756</v>
      </c>
    </row>
    <row r="94" spans="1:18" x14ac:dyDescent="0.2">
      <c r="A94" s="12">
        <v>46115</v>
      </c>
      <c r="B94" s="5">
        <v>279308.261</v>
      </c>
      <c r="C94" s="5">
        <v>244250.307</v>
      </c>
      <c r="D94" s="5">
        <v>35057.953999999998</v>
      </c>
      <c r="E94" s="5"/>
      <c r="F94" s="12">
        <v>46115</v>
      </c>
      <c r="G94" s="5">
        <f t="shared" si="4"/>
        <v>3043.0659510973487</v>
      </c>
      <c r="H94" s="13">
        <f t="shared" si="5"/>
        <v>1541.9257214220759</v>
      </c>
      <c r="I94" s="5">
        <f t="shared" si="6"/>
        <v>243822.86795109735</v>
      </c>
      <c r="J94" s="5">
        <f t="shared" si="7"/>
        <v>35334.357721422079</v>
      </c>
      <c r="M94" s="12">
        <v>46115</v>
      </c>
      <c r="N94" s="5">
        <v>279308.261</v>
      </c>
      <c r="O94" s="5">
        <v>244250.307</v>
      </c>
      <c r="P94" s="5">
        <v>35057.953999999998</v>
      </c>
      <c r="Q94" s="5">
        <f t="shared" si="8"/>
        <v>3470.5050000000047</v>
      </c>
      <c r="R94" s="5">
        <f t="shared" si="9"/>
        <v>1265.5219999999972</v>
      </c>
    </row>
    <row r="95" spans="1:18" x14ac:dyDescent="0.2">
      <c r="A95" s="12">
        <v>46122</v>
      </c>
      <c r="B95" s="5">
        <v>278734.33399999997</v>
      </c>
      <c r="C95" s="5">
        <v>243279.41099999999</v>
      </c>
      <c r="D95" s="5">
        <v>35454.923000000003</v>
      </c>
      <c r="E95" s="5"/>
      <c r="F95" s="12">
        <v>46122</v>
      </c>
      <c r="G95" s="5">
        <f t="shared" si="4"/>
        <v>3188.4517912254946</v>
      </c>
      <c r="H95" s="13">
        <f t="shared" si="5"/>
        <v>1173.5159902694652</v>
      </c>
      <c r="I95" s="5">
        <f t="shared" si="6"/>
        <v>247438.7587912255</v>
      </c>
      <c r="J95" s="5">
        <f t="shared" si="7"/>
        <v>36231.469990269463</v>
      </c>
      <c r="M95" s="12">
        <v>46122</v>
      </c>
      <c r="N95" s="5">
        <v>278734.33399999997</v>
      </c>
      <c r="O95" s="5">
        <v>243279.41099999999</v>
      </c>
      <c r="P95" s="5">
        <v>35454.923000000003</v>
      </c>
      <c r="Q95" s="5">
        <f t="shared" si="8"/>
        <v>-970.89600000000792</v>
      </c>
      <c r="R95" s="5">
        <f t="shared" si="9"/>
        <v>396.9690000000046</v>
      </c>
    </row>
    <row r="96" spans="1:18" x14ac:dyDescent="0.2">
      <c r="I96" s="5"/>
      <c r="L96" t="s">
        <v>175</v>
      </c>
      <c r="M96" s="12">
        <v>46129</v>
      </c>
      <c r="N96" s="5">
        <f>O96+P96</f>
        <v>280590.08601361752</v>
      </c>
      <c r="O96" s="5">
        <f>O95+Q96</f>
        <v>244900.08806915209</v>
      </c>
      <c r="P96" s="5">
        <f>P95+R96</f>
        <v>35689.997944465438</v>
      </c>
      <c r="Q96" s="5">
        <f>_xlfn.FORECAST.ETS(M96,Q3:Q95,M3:M95)</f>
        <v>1620.6770691520801</v>
      </c>
      <c r="R96" s="5">
        <f>_xlfn.FORECAST.ETS(M96,R3:R95,M3:M95)</f>
        <v>235.0749444654349</v>
      </c>
    </row>
    <row r="97" spans="13:18" x14ac:dyDescent="0.2">
      <c r="M97" s="12">
        <v>46136</v>
      </c>
      <c r="N97" s="5">
        <f t="shared" ref="N97:N158" si="10">O97+P97</f>
        <v>284013.87255510746</v>
      </c>
      <c r="O97" s="5">
        <f t="shared" ref="O97:O157" si="11">O96+Q97</f>
        <v>248087.6642019432</v>
      </c>
      <c r="P97" s="5">
        <f t="shared" ref="P97:P158" si="12">P96+R97</f>
        <v>35926.208353164257</v>
      </c>
      <c r="Q97" s="5">
        <f t="shared" ref="Q97:Q158" si="13">_xlfn.FORECAST.ETS(M97,Q4:Q96,M4:M96)</f>
        <v>3187.576132791115</v>
      </c>
      <c r="R97" s="5">
        <f t="shared" ref="R97:R158" si="14">_xlfn.FORECAST.ETS(M97,R4:R96,M4:M96)</f>
        <v>236.21040869881702</v>
      </c>
    </row>
    <row r="98" spans="13:18" x14ac:dyDescent="0.2">
      <c r="M98" s="12">
        <v>46143</v>
      </c>
      <c r="N98" s="5">
        <f t="shared" si="10"/>
        <v>286865.15821392275</v>
      </c>
      <c r="O98" s="5">
        <f t="shared" si="11"/>
        <v>250701.59149726419</v>
      </c>
      <c r="P98" s="5">
        <f t="shared" si="12"/>
        <v>36163.566716658534</v>
      </c>
      <c r="Q98" s="5">
        <f t="shared" si="13"/>
        <v>2613.9272953209747</v>
      </c>
      <c r="R98" s="5">
        <f t="shared" si="14"/>
        <v>237.35836349427501</v>
      </c>
    </row>
    <row r="99" spans="13:18" x14ac:dyDescent="0.2">
      <c r="M99" s="12">
        <v>46150</v>
      </c>
      <c r="N99" s="5">
        <f t="shared" si="10"/>
        <v>289759.72091409366</v>
      </c>
      <c r="O99" s="5">
        <f t="shared" si="11"/>
        <v>253329.65252993413</v>
      </c>
      <c r="P99" s="5">
        <f t="shared" si="12"/>
        <v>36430.068384159531</v>
      </c>
      <c r="Q99" s="5">
        <f t="shared" si="13"/>
        <v>2628.0610326699511</v>
      </c>
      <c r="R99" s="5">
        <f t="shared" si="14"/>
        <v>266.50166750099379</v>
      </c>
    </row>
    <row r="100" spans="13:18" x14ac:dyDescent="0.2">
      <c r="M100" s="12">
        <v>46157</v>
      </c>
      <c r="N100" s="5">
        <f t="shared" si="10"/>
        <v>292834.44207680487</v>
      </c>
      <c r="O100" s="5">
        <f t="shared" si="11"/>
        <v>256136.91318781249</v>
      </c>
      <c r="P100" s="5">
        <f t="shared" si="12"/>
        <v>36697.528888992405</v>
      </c>
      <c r="Q100" s="5">
        <f t="shared" si="13"/>
        <v>2807.2606578783625</v>
      </c>
      <c r="R100" s="5">
        <f t="shared" si="14"/>
        <v>267.46050483287235</v>
      </c>
    </row>
    <row r="101" spans="13:18" x14ac:dyDescent="0.2">
      <c r="M101" s="12">
        <v>46164</v>
      </c>
      <c r="N101" s="5">
        <f t="shared" si="10"/>
        <v>296745.57991882798</v>
      </c>
      <c r="O101" s="5">
        <f t="shared" si="11"/>
        <v>259779.46519596904</v>
      </c>
      <c r="P101" s="5">
        <f t="shared" si="12"/>
        <v>36966.114722858954</v>
      </c>
      <c r="Q101" s="5">
        <f t="shared" si="13"/>
        <v>3642.5520081565437</v>
      </c>
      <c r="R101" s="5">
        <f t="shared" si="14"/>
        <v>268.58583386654919</v>
      </c>
    </row>
    <row r="102" spans="13:18" x14ac:dyDescent="0.2">
      <c r="M102" s="12">
        <v>46171</v>
      </c>
      <c r="N102" s="5">
        <f t="shared" si="10"/>
        <v>300834.60590788547</v>
      </c>
      <c r="O102" s="5">
        <f t="shared" si="11"/>
        <v>263598.48072127777</v>
      </c>
      <c r="P102" s="5">
        <f t="shared" si="12"/>
        <v>37236.125186607693</v>
      </c>
      <c r="Q102" s="5">
        <f t="shared" si="13"/>
        <v>3819.0155253087451</v>
      </c>
      <c r="R102" s="5">
        <f t="shared" si="14"/>
        <v>270.01046374873965</v>
      </c>
    </row>
    <row r="103" spans="13:18" x14ac:dyDescent="0.2">
      <c r="M103" s="12">
        <v>46178</v>
      </c>
      <c r="N103" s="5">
        <f t="shared" si="10"/>
        <v>303811.65529072384</v>
      </c>
      <c r="O103" s="5">
        <f t="shared" si="11"/>
        <v>266304.00659892469</v>
      </c>
      <c r="P103" s="5">
        <f t="shared" si="12"/>
        <v>37507.648691799142</v>
      </c>
      <c r="Q103" s="5">
        <f t="shared" si="13"/>
        <v>2705.5258776469168</v>
      </c>
      <c r="R103" s="5">
        <f t="shared" si="14"/>
        <v>271.52350519145318</v>
      </c>
    </row>
    <row r="104" spans="13:18" x14ac:dyDescent="0.2">
      <c r="M104" s="12">
        <v>46185</v>
      </c>
      <c r="N104" s="5">
        <f t="shared" si="10"/>
        <v>306937.40901369671</v>
      </c>
      <c r="O104" s="5">
        <f t="shared" si="11"/>
        <v>269156.42588410748</v>
      </c>
      <c r="P104" s="5">
        <f t="shared" si="12"/>
        <v>37780.983129589236</v>
      </c>
      <c r="Q104" s="5">
        <f t="shared" si="13"/>
        <v>2852.4192851827961</v>
      </c>
      <c r="R104" s="5">
        <f t="shared" si="14"/>
        <v>273.33443779009167</v>
      </c>
    </row>
    <row r="105" spans="13:18" x14ac:dyDescent="0.2">
      <c r="M105" s="12">
        <v>46192</v>
      </c>
      <c r="N105" s="5">
        <f t="shared" si="10"/>
        <v>310143.16927746194</v>
      </c>
      <c r="O105" s="5">
        <f t="shared" si="11"/>
        <v>272077.00841377384</v>
      </c>
      <c r="P105" s="5">
        <f t="shared" si="12"/>
        <v>38066.160863688099</v>
      </c>
      <c r="Q105" s="5">
        <f t="shared" si="13"/>
        <v>2920.5825296663465</v>
      </c>
      <c r="R105" s="5">
        <f t="shared" si="14"/>
        <v>285.17773409886104</v>
      </c>
    </row>
    <row r="106" spans="13:18" x14ac:dyDescent="0.2">
      <c r="M106" s="12">
        <v>46199</v>
      </c>
      <c r="N106" s="5">
        <f t="shared" si="10"/>
        <v>313346.66330513236</v>
      </c>
      <c r="O106" s="5">
        <f t="shared" si="11"/>
        <v>275002.08492300042</v>
      </c>
      <c r="P106" s="5">
        <f t="shared" si="12"/>
        <v>38344.578382131956</v>
      </c>
      <c r="Q106" s="5">
        <f t="shared" si="13"/>
        <v>2925.0765092265501</v>
      </c>
      <c r="R106" s="5">
        <f t="shared" si="14"/>
        <v>278.41751844385902</v>
      </c>
    </row>
    <row r="107" spans="13:18" x14ac:dyDescent="0.2">
      <c r="M107" s="12">
        <v>46206</v>
      </c>
      <c r="N107" s="5">
        <f t="shared" si="10"/>
        <v>316113.98271355621</v>
      </c>
      <c r="O107" s="5">
        <f t="shared" si="11"/>
        <v>277660.00940878334</v>
      </c>
      <c r="P107" s="5">
        <f t="shared" si="12"/>
        <v>38453.973304772851</v>
      </c>
      <c r="Q107" s="5">
        <f t="shared" si="13"/>
        <v>2657.9244857829062</v>
      </c>
      <c r="R107" s="5">
        <f t="shared" si="14"/>
        <v>109.39492264089519</v>
      </c>
    </row>
    <row r="108" spans="13:18" x14ac:dyDescent="0.2">
      <c r="M108" s="12">
        <v>46213</v>
      </c>
      <c r="N108" s="5">
        <f t="shared" si="10"/>
        <v>318815.98906154686</v>
      </c>
      <c r="O108" s="5">
        <f t="shared" si="11"/>
        <v>280273.00003448746</v>
      </c>
      <c r="P108" s="5">
        <f t="shared" si="12"/>
        <v>38542.989027059433</v>
      </c>
      <c r="Q108" s="5">
        <f t="shared" si="13"/>
        <v>2612.9906257041002</v>
      </c>
      <c r="R108" s="5">
        <f t="shared" si="14"/>
        <v>89.015722286579518</v>
      </c>
    </row>
    <row r="109" spans="13:18" x14ac:dyDescent="0.2">
      <c r="M109" s="12">
        <v>46220</v>
      </c>
      <c r="N109" s="5">
        <f t="shared" si="10"/>
        <v>321494.60083901905</v>
      </c>
      <c r="O109" s="5">
        <f t="shared" si="11"/>
        <v>282695.38788505085</v>
      </c>
      <c r="P109" s="5">
        <f t="shared" si="12"/>
        <v>38799.212953968192</v>
      </c>
      <c r="Q109" s="5">
        <f t="shared" si="13"/>
        <v>2422.3878505633643</v>
      </c>
      <c r="R109" s="5">
        <f t="shared" si="14"/>
        <v>256.22392690876075</v>
      </c>
    </row>
    <row r="110" spans="13:18" x14ac:dyDescent="0.2">
      <c r="M110" s="12">
        <v>46227</v>
      </c>
      <c r="N110" s="5">
        <f t="shared" si="10"/>
        <v>324736.04405673716</v>
      </c>
      <c r="O110" s="5">
        <f t="shared" si="11"/>
        <v>285680.74891814147</v>
      </c>
      <c r="P110" s="5">
        <f t="shared" si="12"/>
        <v>39055.295138595669</v>
      </c>
      <c r="Q110" s="5">
        <f t="shared" si="13"/>
        <v>2985.3610330906072</v>
      </c>
      <c r="R110" s="5">
        <f t="shared" si="14"/>
        <v>256.0821846274759</v>
      </c>
    </row>
    <row r="111" spans="13:18" x14ac:dyDescent="0.2">
      <c r="M111" s="12">
        <v>46234</v>
      </c>
      <c r="N111" s="5">
        <f t="shared" si="10"/>
        <v>328271.10651251674</v>
      </c>
      <c r="O111" s="5">
        <f t="shared" si="11"/>
        <v>288958.80662816425</v>
      </c>
      <c r="P111" s="5">
        <f t="shared" si="12"/>
        <v>39312.299884352484</v>
      </c>
      <c r="Q111" s="5">
        <f t="shared" si="13"/>
        <v>3278.0577100227556</v>
      </c>
      <c r="R111" s="5">
        <f t="shared" si="14"/>
        <v>257.00474575681534</v>
      </c>
    </row>
    <row r="112" spans="13:18" x14ac:dyDescent="0.2">
      <c r="M112" s="12">
        <v>46241</v>
      </c>
      <c r="N112" s="5">
        <f t="shared" si="10"/>
        <v>331470.66196925711</v>
      </c>
      <c r="O112" s="5">
        <f t="shared" si="11"/>
        <v>291910.22827967012</v>
      </c>
      <c r="P112" s="5">
        <f t="shared" si="12"/>
        <v>39560.433689586993</v>
      </c>
      <c r="Q112" s="5">
        <f t="shared" si="13"/>
        <v>2951.4216515058861</v>
      </c>
      <c r="R112" s="5">
        <f t="shared" si="14"/>
        <v>248.13380523450945</v>
      </c>
    </row>
    <row r="113" spans="13:18" x14ac:dyDescent="0.2">
      <c r="M113" s="12">
        <v>46248</v>
      </c>
      <c r="N113" s="5">
        <f t="shared" si="10"/>
        <v>334237.94859186385</v>
      </c>
      <c r="O113" s="5">
        <f t="shared" si="11"/>
        <v>294429.5124513224</v>
      </c>
      <c r="P113" s="5">
        <f t="shared" si="12"/>
        <v>39808.436140541431</v>
      </c>
      <c r="Q113" s="5">
        <f t="shared" si="13"/>
        <v>2519.2841716522839</v>
      </c>
      <c r="R113" s="5">
        <f t="shared" si="14"/>
        <v>248.00245095443515</v>
      </c>
    </row>
    <row r="114" spans="13:18" x14ac:dyDescent="0.2">
      <c r="M114" s="12">
        <v>46255</v>
      </c>
      <c r="N114" s="5">
        <f t="shared" si="10"/>
        <v>337329.74092821451</v>
      </c>
      <c r="O114" s="5">
        <f t="shared" si="11"/>
        <v>297264.97816141491</v>
      </c>
      <c r="P114" s="5">
        <f t="shared" si="12"/>
        <v>40064.76276679962</v>
      </c>
      <c r="Q114" s="5">
        <f t="shared" si="13"/>
        <v>2835.4657100925201</v>
      </c>
      <c r="R114" s="5">
        <f t="shared" si="14"/>
        <v>256.3266262581912</v>
      </c>
    </row>
    <row r="115" spans="13:18" x14ac:dyDescent="0.2">
      <c r="M115" s="12">
        <v>46262</v>
      </c>
      <c r="N115" s="5">
        <f t="shared" si="10"/>
        <v>340317.29970684194</v>
      </c>
      <c r="O115" s="5">
        <f t="shared" si="11"/>
        <v>299990.5515043842</v>
      </c>
      <c r="P115" s="5">
        <f t="shared" si="12"/>
        <v>40326.748202457718</v>
      </c>
      <c r="Q115" s="5">
        <f t="shared" si="13"/>
        <v>2725.5733429693173</v>
      </c>
      <c r="R115" s="5">
        <f t="shared" si="14"/>
        <v>261.98543565809751</v>
      </c>
    </row>
    <row r="116" spans="13:18" x14ac:dyDescent="0.2">
      <c r="M116" s="12">
        <v>46269</v>
      </c>
      <c r="N116" s="5">
        <f t="shared" si="10"/>
        <v>344091.55762985221</v>
      </c>
      <c r="O116" s="5">
        <f t="shared" si="11"/>
        <v>303502.95993409643</v>
      </c>
      <c r="P116" s="5">
        <f t="shared" si="12"/>
        <v>40588.597695755743</v>
      </c>
      <c r="Q116" s="5">
        <f t="shared" si="13"/>
        <v>3512.4084297122099</v>
      </c>
      <c r="R116" s="5">
        <f t="shared" si="14"/>
        <v>261.84949329802726</v>
      </c>
    </row>
    <row r="117" spans="13:18" x14ac:dyDescent="0.2">
      <c r="M117" s="12">
        <v>46276</v>
      </c>
      <c r="N117" s="5">
        <f t="shared" si="10"/>
        <v>347160.18991606147</v>
      </c>
      <c r="O117" s="5">
        <f t="shared" si="11"/>
        <v>306501.9841387489</v>
      </c>
      <c r="P117" s="5">
        <f t="shared" si="12"/>
        <v>40658.205777312556</v>
      </c>
      <c r="Q117" s="5">
        <f t="shared" si="13"/>
        <v>2999.0242046524527</v>
      </c>
      <c r="R117" s="5">
        <f t="shared" si="14"/>
        <v>69.608081556811982</v>
      </c>
    </row>
    <row r="118" spans="13:18" x14ac:dyDescent="0.2">
      <c r="M118" s="12">
        <v>46283</v>
      </c>
      <c r="N118" s="5">
        <f t="shared" si="10"/>
        <v>350472.54090045224</v>
      </c>
      <c r="O118" s="5">
        <f t="shared" si="11"/>
        <v>309574.8872765355</v>
      </c>
      <c r="P118" s="5">
        <f t="shared" si="12"/>
        <v>40897.653623916747</v>
      </c>
      <c r="Q118" s="5">
        <f t="shared" si="13"/>
        <v>3072.903137786604</v>
      </c>
      <c r="R118" s="5">
        <f t="shared" si="14"/>
        <v>239.44784660418799</v>
      </c>
    </row>
    <row r="119" spans="13:18" x14ac:dyDescent="0.2">
      <c r="M119" s="12">
        <v>46290</v>
      </c>
      <c r="N119" s="5">
        <f t="shared" si="10"/>
        <v>353775.56598911341</v>
      </c>
      <c r="O119" s="5">
        <f>O118+Q119</f>
        <v>312638.83294990077</v>
      </c>
      <c r="P119" s="5">
        <f t="shared" si="12"/>
        <v>41136.733039212631</v>
      </c>
      <c r="Q119" s="5">
        <f t="shared" si="13"/>
        <v>3063.9456733652846</v>
      </c>
      <c r="R119" s="5">
        <f t="shared" si="14"/>
        <v>239.07941529588237</v>
      </c>
    </row>
    <row r="120" spans="13:18" x14ac:dyDescent="0.2">
      <c r="M120" s="12">
        <v>46297</v>
      </c>
      <c r="N120" s="5">
        <f t="shared" si="10"/>
        <v>357097.16818313708</v>
      </c>
      <c r="O120" s="5">
        <f t="shared" si="11"/>
        <v>315716.18879932031</v>
      </c>
      <c r="P120" s="5">
        <f t="shared" si="12"/>
        <v>41380.97938381679</v>
      </c>
      <c r="Q120" s="5">
        <f t="shared" si="13"/>
        <v>3077.3558494195413</v>
      </c>
      <c r="R120" s="5">
        <f t="shared" si="14"/>
        <v>244.24634460415615</v>
      </c>
    </row>
    <row r="121" spans="13:18" x14ac:dyDescent="0.2">
      <c r="M121" s="12">
        <v>46304</v>
      </c>
      <c r="N121" s="5">
        <f t="shared" si="10"/>
        <v>360322.97664942592</v>
      </c>
      <c r="O121" s="5">
        <f t="shared" si="11"/>
        <v>318803.33772893186</v>
      </c>
      <c r="P121" s="5">
        <f t="shared" si="12"/>
        <v>41519.638920494064</v>
      </c>
      <c r="Q121" s="5">
        <f t="shared" si="13"/>
        <v>3087.1489296115433</v>
      </c>
      <c r="R121" s="5">
        <f>_xlfn.FORECAST.ETS(M121,R28:R120,M28:M120)</f>
        <v>138.65953667727177</v>
      </c>
    </row>
    <row r="122" spans="13:18" x14ac:dyDescent="0.2">
      <c r="M122" s="12">
        <v>46311</v>
      </c>
      <c r="N122" s="5">
        <f t="shared" si="10"/>
        <v>363673.26695501513</v>
      </c>
      <c r="O122" s="5">
        <f t="shared" si="11"/>
        <v>321925.14192112623</v>
      </c>
      <c r="P122" s="5">
        <f t="shared" si="12"/>
        <v>41748.125033888893</v>
      </c>
      <c r="Q122" s="5">
        <f t="shared" si="13"/>
        <v>3121.8041921943623</v>
      </c>
      <c r="R122" s="5">
        <f t="shared" si="14"/>
        <v>228.486113394829</v>
      </c>
    </row>
    <row r="123" spans="13:18" x14ac:dyDescent="0.2">
      <c r="M123" s="12">
        <v>46318</v>
      </c>
      <c r="N123" s="5">
        <f t="shared" si="10"/>
        <v>367084.77525536023</v>
      </c>
      <c r="O123" s="5">
        <f t="shared" si="11"/>
        <v>325107.76216898102</v>
      </c>
      <c r="P123" s="5">
        <f>P122+R123</f>
        <v>41977.013086379236</v>
      </c>
      <c r="Q123" s="5">
        <f t="shared" si="13"/>
        <v>3182.6202478548207</v>
      </c>
      <c r="R123" s="5">
        <f t="shared" si="14"/>
        <v>228.88805249034084</v>
      </c>
    </row>
    <row r="124" spans="13:18" x14ac:dyDescent="0.2">
      <c r="M124" s="12">
        <v>46325</v>
      </c>
      <c r="N124" s="5">
        <f t="shared" si="10"/>
        <v>370511.36204589397</v>
      </c>
      <c r="O124" s="5">
        <f t="shared" si="11"/>
        <v>328306.68103271257</v>
      </c>
      <c r="P124" s="5">
        <f t="shared" si="12"/>
        <v>42204.681013181398</v>
      </c>
      <c r="Q124" s="5">
        <f t="shared" si="13"/>
        <v>3198.9188637315442</v>
      </c>
      <c r="R124" s="5">
        <f t="shared" si="14"/>
        <v>227.66792680216233</v>
      </c>
    </row>
    <row r="125" spans="13:18" x14ac:dyDescent="0.2">
      <c r="M125" s="12">
        <v>46332</v>
      </c>
      <c r="N125" s="5">
        <f t="shared" si="10"/>
        <v>373970.58490528772</v>
      </c>
      <c r="O125" s="5">
        <f t="shared" si="11"/>
        <v>331539.65102258872</v>
      </c>
      <c r="P125" s="5">
        <f t="shared" si="12"/>
        <v>42430.933882698984</v>
      </c>
      <c r="Q125" s="5">
        <f t="shared" si="13"/>
        <v>3232.9699898761564</v>
      </c>
      <c r="R125" s="5">
        <f t="shared" si="14"/>
        <v>226.25286951758741</v>
      </c>
    </row>
    <row r="126" spans="13:18" x14ac:dyDescent="0.2">
      <c r="M126" s="12">
        <v>46339</v>
      </c>
      <c r="N126" s="5">
        <f t="shared" si="10"/>
        <v>377447.81048283289</v>
      </c>
      <c r="O126" s="5">
        <f t="shared" si="11"/>
        <v>334786.289294558</v>
      </c>
      <c r="P126" s="5">
        <f t="shared" si="12"/>
        <v>42661.521188274906</v>
      </c>
      <c r="Q126" s="5">
        <f t="shared" si="13"/>
        <v>3246.6382719692861</v>
      </c>
      <c r="R126" s="5">
        <f t="shared" si="14"/>
        <v>230.58730557592386</v>
      </c>
    </row>
    <row r="127" spans="13:18" x14ac:dyDescent="0.2">
      <c r="M127" s="12">
        <v>46346</v>
      </c>
      <c r="N127" s="5">
        <f t="shared" si="10"/>
        <v>380960.27115862636</v>
      </c>
      <c r="O127" s="5">
        <f t="shared" si="11"/>
        <v>338069.96559187659</v>
      </c>
      <c r="P127" s="5">
        <f t="shared" si="12"/>
        <v>42890.305566749754</v>
      </c>
      <c r="Q127" s="5">
        <f t="shared" si="13"/>
        <v>3283.6762973185764</v>
      </c>
      <c r="R127" s="5">
        <f t="shared" si="14"/>
        <v>228.78437847484719</v>
      </c>
    </row>
    <row r="128" spans="13:18" x14ac:dyDescent="0.2">
      <c r="M128" s="12">
        <v>46353</v>
      </c>
      <c r="N128" s="5">
        <f t="shared" si="10"/>
        <v>384556.58719107497</v>
      </c>
      <c r="O128" s="5">
        <f t="shared" si="11"/>
        <v>341489.22662432282</v>
      </c>
      <c r="P128" s="5">
        <f t="shared" si="12"/>
        <v>43067.360566752162</v>
      </c>
      <c r="Q128" s="5">
        <f t="shared" si="13"/>
        <v>3419.2610324462321</v>
      </c>
      <c r="R128" s="5">
        <f t="shared" si="14"/>
        <v>177.05500000240698</v>
      </c>
    </row>
    <row r="129" spans="13:18" x14ac:dyDescent="0.2">
      <c r="M129" s="12">
        <v>46360</v>
      </c>
      <c r="N129" s="5">
        <f t="shared" si="10"/>
        <v>388074.9564611612</v>
      </c>
      <c r="O129" s="5">
        <f t="shared" si="11"/>
        <v>344832.59090996144</v>
      </c>
      <c r="P129" s="5">
        <f t="shared" si="12"/>
        <v>43242.365551199779</v>
      </c>
      <c r="Q129" s="5">
        <f t="shared" si="13"/>
        <v>3343.3642856386286</v>
      </c>
      <c r="R129" s="5">
        <f t="shared" si="14"/>
        <v>175.00498444761251</v>
      </c>
    </row>
    <row r="130" spans="13:18" x14ac:dyDescent="0.2">
      <c r="M130" s="12">
        <v>46367</v>
      </c>
      <c r="N130" s="5">
        <f t="shared" si="10"/>
        <v>391583.82842703076</v>
      </c>
      <c r="O130" s="5">
        <f t="shared" si="11"/>
        <v>348168.78222518117</v>
      </c>
      <c r="P130" s="5">
        <f t="shared" si="12"/>
        <v>43415.046201849604</v>
      </c>
      <c r="Q130" s="5">
        <f t="shared" si="13"/>
        <v>3336.1913152197399</v>
      </c>
      <c r="R130" s="5">
        <f t="shared" si="14"/>
        <v>172.68065064982389</v>
      </c>
    </row>
    <row r="131" spans="13:18" x14ac:dyDescent="0.2">
      <c r="M131" s="12">
        <v>46374</v>
      </c>
      <c r="N131" s="5">
        <f t="shared" si="10"/>
        <v>395165.98268118518</v>
      </c>
      <c r="O131" s="5">
        <f t="shared" si="11"/>
        <v>351563.93628442759</v>
      </c>
      <c r="P131" s="5">
        <f t="shared" si="12"/>
        <v>43602.046396757571</v>
      </c>
      <c r="Q131" s="5">
        <f t="shared" si="13"/>
        <v>3395.1540592464298</v>
      </c>
      <c r="R131" s="5">
        <f t="shared" si="14"/>
        <v>187.00019490796623</v>
      </c>
    </row>
    <row r="132" spans="13:18" x14ac:dyDescent="0.2">
      <c r="M132" s="12">
        <v>46381</v>
      </c>
      <c r="N132" s="5">
        <f t="shared" si="10"/>
        <v>398726.7895725047</v>
      </c>
      <c r="O132" s="5">
        <f t="shared" si="11"/>
        <v>354938.46071946545</v>
      </c>
      <c r="P132" s="5">
        <f t="shared" si="12"/>
        <v>43788.328853039224</v>
      </c>
      <c r="Q132" s="5">
        <f t="shared" si="13"/>
        <v>3374.5244350378803</v>
      </c>
      <c r="R132" s="5">
        <f t="shared" si="14"/>
        <v>186.2824562816551</v>
      </c>
    </row>
    <row r="133" spans="13:18" x14ac:dyDescent="0.2">
      <c r="M133" s="12">
        <v>46388</v>
      </c>
      <c r="N133" s="5">
        <f t="shared" si="10"/>
        <v>402300.29988562001</v>
      </c>
      <c r="O133" s="5">
        <f t="shared" si="11"/>
        <v>358344.69118040265</v>
      </c>
      <c r="P133" s="5">
        <f t="shared" si="12"/>
        <v>43955.608705217361</v>
      </c>
      <c r="Q133" s="5">
        <f t="shared" si="13"/>
        <v>3406.2304609372154</v>
      </c>
      <c r="R133" s="5">
        <f t="shared" si="14"/>
        <v>167.27985217813676</v>
      </c>
    </row>
    <row r="134" spans="13:18" x14ac:dyDescent="0.2">
      <c r="M134" s="12">
        <v>46395</v>
      </c>
      <c r="N134" s="5">
        <f t="shared" si="10"/>
        <v>406522.51924360415</v>
      </c>
      <c r="O134" s="5">
        <f t="shared" si="11"/>
        <v>362401.59972666868</v>
      </c>
      <c r="P134" s="5">
        <f t="shared" si="12"/>
        <v>44120.91951693545</v>
      </c>
      <c r="Q134" s="5">
        <f t="shared" si="13"/>
        <v>4056.9085462660551</v>
      </c>
      <c r="R134" s="5">
        <f t="shared" si="14"/>
        <v>165.31081171808714</v>
      </c>
    </row>
    <row r="135" spans="13:18" x14ac:dyDescent="0.2">
      <c r="M135" s="12">
        <v>46402</v>
      </c>
      <c r="N135" s="5">
        <f t="shared" si="10"/>
        <v>409700.25119681854</v>
      </c>
      <c r="O135" s="5">
        <f>O134+Q135</f>
        <v>365457.63803257106</v>
      </c>
      <c r="P135" s="5">
        <f t="shared" si="12"/>
        <v>44242.613164247457</v>
      </c>
      <c r="Q135" s="5">
        <f t="shared" si="13"/>
        <v>3056.0383059024016</v>
      </c>
      <c r="R135" s="5">
        <f t="shared" si="14"/>
        <v>121.6936473120069</v>
      </c>
    </row>
    <row r="136" spans="13:18" x14ac:dyDescent="0.2">
      <c r="M136" s="12">
        <v>46409</v>
      </c>
      <c r="N136" s="5">
        <f t="shared" si="10"/>
        <v>413377.52201712225</v>
      </c>
      <c r="O136" s="5">
        <f t="shared" si="11"/>
        <v>369355.41035013966</v>
      </c>
      <c r="P136" s="5">
        <f t="shared" si="12"/>
        <v>44022.111666982557</v>
      </c>
      <c r="Q136" s="5">
        <f t="shared" si="13"/>
        <v>3897.7723175686115</v>
      </c>
      <c r="R136" s="5">
        <f t="shared" si="14"/>
        <v>-220.50149726490065</v>
      </c>
    </row>
    <row r="137" spans="13:18" x14ac:dyDescent="0.2">
      <c r="M137" s="12">
        <v>46416</v>
      </c>
      <c r="N137" s="5">
        <f t="shared" si="10"/>
        <v>417459.90309078572</v>
      </c>
      <c r="O137" s="5">
        <f t="shared" si="11"/>
        <v>373283.11434557947</v>
      </c>
      <c r="P137" s="5">
        <f t="shared" si="12"/>
        <v>44176.788745206228</v>
      </c>
      <c r="Q137" s="5">
        <f t="shared" si="13"/>
        <v>3927.7039954398133</v>
      </c>
      <c r="R137" s="5">
        <f t="shared" si="14"/>
        <v>154.67707822367245</v>
      </c>
    </row>
    <row r="138" spans="13:18" x14ac:dyDescent="0.2">
      <c r="M138" s="12">
        <v>46423</v>
      </c>
      <c r="N138" s="5">
        <f t="shared" si="10"/>
        <v>427528.32887008705</v>
      </c>
      <c r="O138" s="5">
        <f t="shared" si="11"/>
        <v>383400.0514186864</v>
      </c>
      <c r="P138" s="5">
        <f t="shared" si="12"/>
        <v>44128.277451400631</v>
      </c>
      <c r="Q138" s="5">
        <f t="shared" si="13"/>
        <v>10116.93707310691</v>
      </c>
      <c r="R138" s="5">
        <f t="shared" si="14"/>
        <v>-48.511293805597603</v>
      </c>
    </row>
    <row r="139" spans="13:18" x14ac:dyDescent="0.2">
      <c r="M139" s="12">
        <v>46430</v>
      </c>
      <c r="N139" s="5">
        <f t="shared" si="10"/>
        <v>432146.25595930184</v>
      </c>
      <c r="O139" s="5">
        <f t="shared" si="11"/>
        <v>387479.70672635466</v>
      </c>
      <c r="P139" s="5">
        <f t="shared" si="12"/>
        <v>44666.549232947204</v>
      </c>
      <c r="Q139" s="5">
        <f t="shared" si="13"/>
        <v>4079.6553076682712</v>
      </c>
      <c r="R139" s="5">
        <f t="shared" si="14"/>
        <v>538.27178154656974</v>
      </c>
    </row>
    <row r="140" spans="13:18" x14ac:dyDescent="0.2">
      <c r="M140" s="12">
        <v>46437</v>
      </c>
      <c r="N140" s="5">
        <f t="shared" si="10"/>
        <v>438086.19356577477</v>
      </c>
      <c r="O140" s="5">
        <f t="shared" si="11"/>
        <v>392726.95347257837</v>
      </c>
      <c r="P140" s="5">
        <f t="shared" si="12"/>
        <v>45359.240093196378</v>
      </c>
      <c r="Q140" s="5">
        <f t="shared" si="13"/>
        <v>5247.2467462237028</v>
      </c>
      <c r="R140" s="5">
        <f>_xlfn.FORECAST.ETS(M140,R47:R139,M47:M139)</f>
        <v>692.69086024917374</v>
      </c>
    </row>
    <row r="141" spans="13:18" x14ac:dyDescent="0.2">
      <c r="M141" s="12">
        <v>46444</v>
      </c>
      <c r="N141" s="5">
        <f t="shared" si="10"/>
        <v>445826.79707281315</v>
      </c>
      <c r="O141" s="5">
        <f t="shared" si="11"/>
        <v>400352.69657597941</v>
      </c>
      <c r="P141" s="5">
        <f t="shared" si="12"/>
        <v>45474.100496833758</v>
      </c>
      <c r="Q141" s="5">
        <f t="shared" si="13"/>
        <v>7625.7431034010115</v>
      </c>
      <c r="R141" s="5">
        <f t="shared" si="14"/>
        <v>114.86040363737865</v>
      </c>
    </row>
    <row r="142" spans="13:18" x14ac:dyDescent="0.2">
      <c r="M142" s="12">
        <v>46451</v>
      </c>
      <c r="N142" s="5">
        <f t="shared" si="10"/>
        <v>461654.21911712841</v>
      </c>
      <c r="O142" s="5">
        <f t="shared" si="11"/>
        <v>415989.10717814876</v>
      </c>
      <c r="P142" s="5">
        <f t="shared" si="12"/>
        <v>45665.111938979659</v>
      </c>
      <c r="Q142" s="5">
        <f t="shared" si="13"/>
        <v>15636.410602169341</v>
      </c>
      <c r="R142" s="5">
        <f t="shared" si="14"/>
        <v>191.01144214590195</v>
      </c>
    </row>
    <row r="143" spans="13:18" x14ac:dyDescent="0.2">
      <c r="M143" s="12">
        <v>46458</v>
      </c>
      <c r="N143" s="5">
        <f t="shared" si="10"/>
        <v>472273.41793565085</v>
      </c>
      <c r="O143" s="5">
        <f t="shared" si="11"/>
        <v>426324.32777654706</v>
      </c>
      <c r="P143" s="5">
        <f t="shared" si="12"/>
        <v>45949.090159103784</v>
      </c>
      <c r="Q143" s="5">
        <f t="shared" si="13"/>
        <v>10335.220598398282</v>
      </c>
      <c r="R143" s="5">
        <f t="shared" si="14"/>
        <v>283.97822012412183</v>
      </c>
    </row>
    <row r="144" spans="13:18" x14ac:dyDescent="0.2">
      <c r="M144" s="12">
        <v>46465</v>
      </c>
      <c r="N144" s="5">
        <f t="shared" si="10"/>
        <v>477482.77045488154</v>
      </c>
      <c r="O144" s="5">
        <f t="shared" si="11"/>
        <v>431249.9821302155</v>
      </c>
      <c r="P144" s="5">
        <f t="shared" si="12"/>
        <v>46232.78832466602</v>
      </c>
      <c r="Q144" s="5">
        <f t="shared" si="13"/>
        <v>4925.654353668473</v>
      </c>
      <c r="R144" s="5">
        <f t="shared" si="14"/>
        <v>283.69816556223634</v>
      </c>
    </row>
    <row r="145" spans="13:18" x14ac:dyDescent="0.2">
      <c r="M145" s="12">
        <v>46472</v>
      </c>
      <c r="N145" s="5">
        <f t="shared" si="10"/>
        <v>481835.76750944997</v>
      </c>
      <c r="O145" s="5">
        <f t="shared" si="11"/>
        <v>435358.25878296309</v>
      </c>
      <c r="P145" s="5">
        <f t="shared" si="12"/>
        <v>46477.508726486885</v>
      </c>
      <c r="Q145" s="5">
        <f t="shared" si="13"/>
        <v>4108.2766527476088</v>
      </c>
      <c r="R145" s="5">
        <f t="shared" si="14"/>
        <v>244.72040182086337</v>
      </c>
    </row>
    <row r="146" spans="13:18" x14ac:dyDescent="0.2">
      <c r="M146" s="12">
        <v>46479</v>
      </c>
      <c r="N146" s="5">
        <f t="shared" si="10"/>
        <v>483608.53061478975</v>
      </c>
      <c r="O146" s="5">
        <f t="shared" si="11"/>
        <v>436926.96159719082</v>
      </c>
      <c r="P146" s="5">
        <f t="shared" si="12"/>
        <v>46681.569017598929</v>
      </c>
      <c r="Q146" s="5">
        <f t="shared" si="13"/>
        <v>1568.702814227735</v>
      </c>
      <c r="R146" s="5">
        <f t="shared" si="14"/>
        <v>204.0602911120429</v>
      </c>
    </row>
    <row r="147" spans="13:18" x14ac:dyDescent="0.2">
      <c r="M147" s="12">
        <v>46486</v>
      </c>
      <c r="N147" s="5">
        <f t="shared" si="10"/>
        <v>490116.89060519962</v>
      </c>
      <c r="O147" s="5">
        <f t="shared" si="11"/>
        <v>443199.39123855112</v>
      </c>
      <c r="P147" s="5">
        <f>P146+R147</f>
        <v>46917.499366648524</v>
      </c>
      <c r="Q147" s="5">
        <f t="shared" si="13"/>
        <v>6272.4296413603197</v>
      </c>
      <c r="R147" s="5">
        <f t="shared" si="14"/>
        <v>235.93034904959273</v>
      </c>
    </row>
    <row r="148" spans="13:18" x14ac:dyDescent="0.2">
      <c r="M148" s="12">
        <v>46493</v>
      </c>
      <c r="N148" s="5">
        <f t="shared" si="10"/>
        <v>494036.6171507106</v>
      </c>
      <c r="O148" s="5">
        <f t="shared" si="11"/>
        <v>446887.66024927492</v>
      </c>
      <c r="P148" s="5">
        <f t="shared" si="12"/>
        <v>47148.956901435697</v>
      </c>
      <c r="Q148" s="5">
        <f>_xlfn.FORECAST.ETS(M148,Q55:Q147,M55:M147)</f>
        <v>3688.2690107238141</v>
      </c>
      <c r="R148" s="5">
        <f t="shared" si="14"/>
        <v>231.45753478717549</v>
      </c>
    </row>
    <row r="149" spans="13:18" x14ac:dyDescent="0.2">
      <c r="M149" s="12">
        <v>46500</v>
      </c>
      <c r="N149" s="5">
        <f t="shared" si="10"/>
        <v>497452.02883399802</v>
      </c>
      <c r="O149" s="5">
        <f t="shared" si="11"/>
        <v>450024.57998037362</v>
      </c>
      <c r="P149" s="5">
        <f t="shared" si="12"/>
        <v>47427.448853624403</v>
      </c>
      <c r="Q149" s="5">
        <f t="shared" si="13"/>
        <v>3136.9197310987142</v>
      </c>
      <c r="R149" s="5">
        <f t="shared" si="14"/>
        <v>278.49195218870256</v>
      </c>
    </row>
    <row r="150" spans="13:18" x14ac:dyDescent="0.2">
      <c r="M150" s="12">
        <v>46507</v>
      </c>
      <c r="N150" s="5">
        <f t="shared" si="10"/>
        <v>502927.21814696176</v>
      </c>
      <c r="O150" s="5">
        <f t="shared" si="11"/>
        <v>455234.09299792041</v>
      </c>
      <c r="P150" s="5">
        <f t="shared" si="12"/>
        <v>47693.125149041349</v>
      </c>
      <c r="Q150" s="5">
        <f t="shared" si="13"/>
        <v>5209.5130175467757</v>
      </c>
      <c r="R150" s="5">
        <f t="shared" si="14"/>
        <v>265.67629541694754</v>
      </c>
    </row>
    <row r="151" spans="13:18" x14ac:dyDescent="0.2">
      <c r="M151" s="12">
        <v>46514</v>
      </c>
      <c r="N151" s="5">
        <f t="shared" si="10"/>
        <v>509348.2218289572</v>
      </c>
      <c r="O151" s="5">
        <f t="shared" si="11"/>
        <v>461387.31066138798</v>
      </c>
      <c r="P151" s="5">
        <f t="shared" si="12"/>
        <v>47960.911167569226</v>
      </c>
      <c r="Q151" s="5">
        <f t="shared" si="13"/>
        <v>6153.2176634675925</v>
      </c>
      <c r="R151" s="5">
        <f t="shared" si="14"/>
        <v>267.78601852787921</v>
      </c>
    </row>
    <row r="152" spans="13:18" x14ac:dyDescent="0.2">
      <c r="M152" s="12">
        <v>46521</v>
      </c>
      <c r="N152" s="5">
        <f t="shared" si="10"/>
        <v>510332.95345695806</v>
      </c>
      <c r="O152" s="5">
        <f t="shared" si="11"/>
        <v>462098.41400419088</v>
      </c>
      <c r="P152" s="5">
        <f t="shared" si="12"/>
        <v>48234.539452767196</v>
      </c>
      <c r="Q152" s="5">
        <f t="shared" si="13"/>
        <v>711.10334280292864</v>
      </c>
      <c r="R152" s="5">
        <f t="shared" si="14"/>
        <v>273.62828519797068</v>
      </c>
    </row>
    <row r="153" spans="13:18" x14ac:dyDescent="0.2">
      <c r="M153" s="12">
        <v>46528</v>
      </c>
      <c r="N153" s="5">
        <f t="shared" si="10"/>
        <v>515285.37115764897</v>
      </c>
      <c r="O153" s="5">
        <f t="shared" si="11"/>
        <v>466791.04011726554</v>
      </c>
      <c r="P153" s="5">
        <f t="shared" si="12"/>
        <v>48494.331040383426</v>
      </c>
      <c r="Q153" s="5">
        <f t="shared" si="13"/>
        <v>4692.6261130746634</v>
      </c>
      <c r="R153" s="5">
        <f t="shared" si="14"/>
        <v>259.79158761622767</v>
      </c>
    </row>
    <row r="154" spans="13:18" x14ac:dyDescent="0.2">
      <c r="M154" s="12">
        <v>46535</v>
      </c>
      <c r="N154" s="5">
        <f t="shared" si="10"/>
        <v>518737.66173987743</v>
      </c>
      <c r="O154" s="5">
        <f t="shared" si="11"/>
        <v>469681.11336880183</v>
      </c>
      <c r="P154" s="5">
        <f t="shared" si="12"/>
        <v>49056.548371075609</v>
      </c>
      <c r="Q154" s="5">
        <f t="shared" si="13"/>
        <v>2890.0732515363138</v>
      </c>
      <c r="R154" s="5">
        <f t="shared" si="14"/>
        <v>562.21733069217976</v>
      </c>
    </row>
    <row r="155" spans="13:18" x14ac:dyDescent="0.2">
      <c r="M155" s="12">
        <v>46542</v>
      </c>
      <c r="N155" s="5">
        <f t="shared" si="10"/>
        <v>522381.06606638053</v>
      </c>
      <c r="O155" s="5">
        <f t="shared" si="11"/>
        <v>472950.20006253815</v>
      </c>
      <c r="P155" s="5">
        <f t="shared" si="12"/>
        <v>49430.866003842391</v>
      </c>
      <c r="Q155" s="5">
        <f t="shared" si="13"/>
        <v>3269.0866937363417</v>
      </c>
      <c r="R155" s="5">
        <f t="shared" si="14"/>
        <v>374.31763276678402</v>
      </c>
    </row>
    <row r="156" spans="13:18" x14ac:dyDescent="0.2">
      <c r="M156" s="12">
        <v>46549</v>
      </c>
      <c r="N156" s="5">
        <f t="shared" si="10"/>
        <v>528853.9751554461</v>
      </c>
      <c r="O156" s="5">
        <f t="shared" si="11"/>
        <v>478856.76497491554</v>
      </c>
      <c r="P156" s="5">
        <f t="shared" si="12"/>
        <v>49997.210180530565</v>
      </c>
      <c r="Q156" s="5">
        <f t="shared" si="13"/>
        <v>5906.5649123773774</v>
      </c>
      <c r="R156" s="5">
        <f t="shared" si="14"/>
        <v>566.34417668817287</v>
      </c>
    </row>
    <row r="157" spans="13:18" x14ac:dyDescent="0.2">
      <c r="M157" s="12">
        <v>46556</v>
      </c>
      <c r="N157" s="5">
        <f t="shared" si="10"/>
        <v>531336.8305326344</v>
      </c>
      <c r="O157" s="5">
        <f t="shared" si="11"/>
        <v>481112.82326541771</v>
      </c>
      <c r="P157" s="5">
        <f t="shared" si="12"/>
        <v>50224.007267216715</v>
      </c>
      <c r="Q157" s="5">
        <f t="shared" si="13"/>
        <v>2256.0582905021865</v>
      </c>
      <c r="R157" s="5">
        <f t="shared" si="14"/>
        <v>226.79708668614768</v>
      </c>
    </row>
    <row r="158" spans="13:18" x14ac:dyDescent="0.2">
      <c r="M158" s="12">
        <v>46563</v>
      </c>
      <c r="N158" s="5">
        <f t="shared" si="10"/>
        <v>536595.50689161255</v>
      </c>
      <c r="O158" s="5">
        <f>O157+Q158</f>
        <v>486137.42558282916</v>
      </c>
      <c r="P158" s="5">
        <f t="shared" si="12"/>
        <v>50458.081308783425</v>
      </c>
      <c r="Q158" s="5">
        <f t="shared" si="13"/>
        <v>5024.6023174114471</v>
      </c>
      <c r="R158" s="5">
        <f t="shared" si="14"/>
        <v>234.07404156670819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Yönetici Özeti</vt:lpstr>
      <vt:lpstr>1. Ham Veri</vt:lpstr>
      <vt:lpstr>2. İstatistikler</vt:lpstr>
      <vt:lpstr>3. Büyüme Analizi</vt:lpstr>
      <vt:lpstr>4. Mevsimsellik</vt:lpstr>
      <vt:lpstr>5. TL-YP Analizi</vt:lpstr>
      <vt:lpstr>6. Tahmin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Ertuğrul Tuti</cp:lastModifiedBy>
  <dcterms:created xsi:type="dcterms:W3CDTF">2026-04-19T13:13:33Z</dcterms:created>
  <dcterms:modified xsi:type="dcterms:W3CDTF">2026-04-30T21:06:06Z</dcterms:modified>
</cp:coreProperties>
</file>